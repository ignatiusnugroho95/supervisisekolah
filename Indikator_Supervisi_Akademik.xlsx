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ks.id\"/>
    </mc:Choice>
  </mc:AlternateContent>
  <xr:revisionPtr revIDLastSave="0" documentId="13_ncr:1_{044EC7B4-558D-4333-AFF7-663151FF0CE5}" xr6:coauthVersionLast="47" xr6:coauthVersionMax="47" xr10:uidLastSave="{00000000-0000-0000-0000-000000000000}"/>
  <bookViews>
    <workbookView xWindow="-110" yWindow="-110" windowWidth="19420" windowHeight="11500" tabRatio="500" firstSheet="1" activeTab="1" xr2:uid="{00000000-000D-0000-FFFF-FFFF00000000}"/>
  </bookViews>
  <sheets>
    <sheet name="Rekap Ringkasan" sheetId="1" r:id="rId1"/>
    <sheet name="Indikator Supervisi Akademik" sheetId="2" r:id="rId2"/>
  </sheets>
  <definedNames>
    <definedName name="_xlnm._FilterDatabase" localSheetId="1" hidden="1">'Indikator Supervisi Akademik'!$B$2:$F$27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/>
  <c r="B9" i="2" s="1"/>
  <c r="B10" i="2" s="1"/>
  <c r="B11" i="2"/>
  <c r="B12" i="2" s="1"/>
  <c r="B13" i="2" s="1"/>
  <c r="B14" i="2" s="1"/>
  <c r="B15" i="2" s="1"/>
  <c r="C15" i="2" s="1"/>
  <c r="B16" i="2"/>
  <c r="B17" i="2"/>
  <c r="B18" i="2" s="1"/>
  <c r="B19" i="2"/>
  <c r="B20" i="2" s="1"/>
  <c r="B29" i="2"/>
  <c r="B30" i="2"/>
  <c r="B31" i="2"/>
  <c r="C31" i="2" s="1"/>
  <c r="B32" i="2"/>
  <c r="C32" i="2" s="1"/>
  <c r="B33" i="2"/>
  <c r="C33" i="2" s="1"/>
  <c r="B37" i="2"/>
  <c r="B38" i="2" s="1"/>
  <c r="B39" i="2" s="1"/>
  <c r="B40" i="2"/>
  <c r="B41" i="2" s="1"/>
  <c r="B42" i="2" s="1"/>
  <c r="B43" i="2" s="1"/>
  <c r="B44" i="2" s="1"/>
  <c r="B45" i="2" s="1"/>
  <c r="B46" i="2"/>
  <c r="C46" i="2" s="1"/>
  <c r="B51" i="2"/>
  <c r="B52" i="2" s="1"/>
  <c r="B54" i="2"/>
  <c r="B55" i="2" s="1"/>
  <c r="B59" i="2"/>
  <c r="C59" i="2" s="1"/>
  <c r="B60" i="2"/>
  <c r="B61" i="2"/>
  <c r="C61" i="2" s="1"/>
  <c r="B62" i="2"/>
  <c r="B63" i="2"/>
  <c r="B64" i="2"/>
  <c r="B65" i="2" s="1"/>
  <c r="B67" i="2"/>
  <c r="B68" i="2" s="1"/>
  <c r="B69" i="2" s="1"/>
  <c r="C69" i="2" s="1"/>
  <c r="B70" i="2"/>
  <c r="B71" i="2" s="1"/>
  <c r="B75" i="2"/>
  <c r="B76" i="2"/>
  <c r="B77" i="2"/>
  <c r="B78" i="2"/>
  <c r="C78" i="2" s="1"/>
  <c r="B79" i="2"/>
  <c r="C79" i="2" s="1"/>
  <c r="B90" i="2"/>
  <c r="B91" i="2"/>
  <c r="B92" i="2"/>
  <c r="C92" i="2" s="1"/>
  <c r="B93" i="2"/>
  <c r="B94" i="2" s="1"/>
  <c r="B95" i="2" s="1"/>
  <c r="B98" i="2"/>
  <c r="B99" i="2" s="1"/>
  <c r="B100" i="2" s="1"/>
  <c r="B101" i="2"/>
  <c r="B102" i="2"/>
  <c r="B103" i="2" s="1"/>
  <c r="B104" i="2" s="1"/>
  <c r="B105" i="2" s="1"/>
  <c r="B106" i="2"/>
  <c r="B107" i="2"/>
  <c r="C107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/>
  <c r="C129" i="2" s="1"/>
  <c r="B132" i="2"/>
  <c r="B133" i="2" s="1"/>
  <c r="B134" i="2" s="1"/>
  <c r="B135" i="2" s="1"/>
  <c r="B136" i="2" s="1"/>
  <c r="B137" i="2" s="1"/>
  <c r="B138" i="2" s="1"/>
  <c r="B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B147" i="2" s="1"/>
  <c r="B148" i="2" s="1"/>
  <c r="B149" i="2" s="1"/>
  <c r="B150" i="2"/>
  <c r="B151" i="2" s="1"/>
  <c r="C151" i="2" s="1"/>
  <c r="B152" i="2"/>
  <c r="B153" i="2" s="1"/>
  <c r="B154" i="2" s="1"/>
  <c r="B155" i="2" s="1"/>
  <c r="B156" i="2" s="1"/>
  <c r="B157" i="2"/>
  <c r="C157" i="2" s="1"/>
  <c r="B158" i="2"/>
  <c r="C158" i="2" s="1"/>
  <c r="C11" i="2"/>
  <c r="C8" i="2"/>
  <c r="C70" i="2"/>
  <c r="C75" i="2"/>
  <c r="C76" i="2"/>
  <c r="C77" i="2"/>
  <c r="C106" i="2"/>
  <c r="C3" i="2"/>
  <c r="C19" i="2"/>
  <c r="C29" i="2"/>
  <c r="C37" i="2"/>
  <c r="C67" i="2"/>
  <c r="E24" i="1"/>
  <c r="D24" i="1"/>
  <c r="C24" i="1"/>
  <c r="B24" i="1"/>
  <c r="E23" i="1"/>
  <c r="D23" i="1"/>
  <c r="C23" i="1"/>
  <c r="B23" i="1"/>
  <c r="F23" i="1" s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F19" i="1" s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F15" i="1" s="1"/>
  <c r="E14" i="1"/>
  <c r="E25" i="1" s="1"/>
  <c r="D14" i="1"/>
  <c r="D25" i="1" s="1"/>
  <c r="C14" i="1"/>
  <c r="B14" i="1"/>
  <c r="E9" i="1"/>
  <c r="D9" i="1"/>
  <c r="C9" i="1"/>
  <c r="B9" i="1"/>
  <c r="F9" i="1" s="1"/>
  <c r="E8" i="1"/>
  <c r="D8" i="1"/>
  <c r="C8" i="1"/>
  <c r="B8" i="1"/>
  <c r="F8" i="1" s="1"/>
  <c r="E7" i="1"/>
  <c r="D7" i="1"/>
  <c r="C7" i="1"/>
  <c r="B7" i="1"/>
  <c r="F7" i="1" s="1"/>
  <c r="E6" i="1"/>
  <c r="D6" i="1"/>
  <c r="C6" i="1"/>
  <c r="B6" i="1"/>
  <c r="F6" i="1" s="1"/>
  <c r="E5" i="1"/>
  <c r="E10" i="1" s="1"/>
  <c r="D5" i="1"/>
  <c r="D10" i="1" s="1"/>
  <c r="C5" i="1"/>
  <c r="C10" i="1" s="1"/>
  <c r="B5" i="1"/>
  <c r="F5" i="1" s="1"/>
  <c r="F21" i="1" l="1"/>
  <c r="F18" i="1"/>
  <c r="F16" i="1"/>
  <c r="F24" i="1"/>
  <c r="F22" i="1"/>
  <c r="C65" i="2"/>
  <c r="B66" i="2"/>
  <c r="C66" i="2" s="1"/>
  <c r="B96" i="2"/>
  <c r="C95" i="2"/>
  <c r="B108" i="2"/>
  <c r="C108" i="2" s="1"/>
  <c r="B80" i="2"/>
  <c r="C150" i="2"/>
  <c r="C93" i="2"/>
  <c r="B47" i="2"/>
  <c r="C132" i="2"/>
  <c r="C152" i="2"/>
  <c r="C54" i="2"/>
  <c r="B130" i="2"/>
  <c r="B131" i="2" s="1"/>
  <c r="C131" i="2" s="1"/>
  <c r="C51" i="2"/>
  <c r="B34" i="2"/>
  <c r="B35" i="2" s="1"/>
  <c r="B36" i="2" s="1"/>
  <c r="C36" i="2" s="1"/>
  <c r="C55" i="2"/>
  <c r="B56" i="2"/>
  <c r="B57" i="2" s="1"/>
  <c r="B58" i="2" s="1"/>
  <c r="C58" i="2" s="1"/>
  <c r="C52" i="2"/>
  <c r="B53" i="2"/>
  <c r="C53" i="2" s="1"/>
  <c r="C20" i="2"/>
  <c r="B21" i="2"/>
  <c r="B22" i="2" s="1"/>
  <c r="B23" i="2" s="1"/>
  <c r="B24" i="2" s="1"/>
  <c r="B25" i="2" s="1"/>
  <c r="B26" i="2" s="1"/>
  <c r="B27" i="2" s="1"/>
  <c r="B28" i="2" s="1"/>
  <c r="C71" i="2"/>
  <c r="B72" i="2"/>
  <c r="C122" i="2"/>
  <c r="C38" i="2"/>
  <c r="C39" i="2"/>
  <c r="C153" i="2"/>
  <c r="C156" i="2"/>
  <c r="C147" i="2"/>
  <c r="C10" i="2"/>
  <c r="C9" i="2"/>
  <c r="C134" i="2"/>
  <c r="C57" i="2"/>
  <c r="C100" i="2"/>
  <c r="C99" i="2"/>
  <c r="C56" i="2"/>
  <c r="C98" i="2"/>
  <c r="C133" i="2"/>
  <c r="C146" i="2"/>
  <c r="C114" i="2"/>
  <c r="C41" i="2"/>
  <c r="C17" i="2"/>
  <c r="C18" i="2"/>
  <c r="C102" i="2"/>
  <c r="C5" i="2"/>
  <c r="C62" i="2"/>
  <c r="C12" i="2"/>
  <c r="C16" i="2"/>
  <c r="C14" i="2"/>
  <c r="C40" i="2"/>
  <c r="C94" i="2"/>
  <c r="C30" i="2"/>
  <c r="C13" i="2"/>
  <c r="C121" i="2"/>
  <c r="C120" i="2"/>
  <c r="C119" i="2"/>
  <c r="C118" i="2"/>
  <c r="C101" i="2"/>
  <c r="C116" i="2"/>
  <c r="C68" i="2"/>
  <c r="C4" i="2"/>
  <c r="C64" i="2"/>
  <c r="C63" i="2"/>
  <c r="C60" i="2"/>
  <c r="C91" i="2"/>
  <c r="C90" i="2"/>
  <c r="C117" i="2"/>
  <c r="C115" i="2"/>
  <c r="F17" i="1"/>
  <c r="F14" i="1"/>
  <c r="F20" i="1"/>
  <c r="D26" i="1"/>
  <c r="E26" i="1"/>
  <c r="F10" i="1"/>
  <c r="B25" i="1"/>
  <c r="C25" i="1"/>
  <c r="C26" i="1" s="1"/>
  <c r="B10" i="1"/>
  <c r="C34" i="2" l="1"/>
  <c r="C80" i="2"/>
  <c r="B81" i="2"/>
  <c r="C35" i="2"/>
  <c r="C47" i="2"/>
  <c r="B48" i="2"/>
  <c r="C96" i="2"/>
  <c r="B97" i="2"/>
  <c r="C97" i="2" s="1"/>
  <c r="C130" i="2"/>
  <c r="B73" i="2"/>
  <c r="C72" i="2"/>
  <c r="C22" i="2"/>
  <c r="C21" i="2"/>
  <c r="C149" i="2"/>
  <c r="C148" i="2"/>
  <c r="C135" i="2"/>
  <c r="C123" i="2"/>
  <c r="C23" i="2"/>
  <c r="C154" i="2"/>
  <c r="C155" i="2"/>
  <c r="C7" i="2"/>
  <c r="C6" i="2"/>
  <c r="C103" i="2"/>
  <c r="C42" i="2"/>
  <c r="F25" i="1"/>
  <c r="B26" i="1"/>
  <c r="F26" i="1"/>
  <c r="C48" i="2" l="1"/>
  <c r="B49" i="2"/>
  <c r="C81" i="2"/>
  <c r="B82" i="2"/>
  <c r="B74" i="2"/>
  <c r="C74" i="2" s="1"/>
  <c r="C73" i="2"/>
  <c r="C136" i="2"/>
  <c r="C24" i="2"/>
  <c r="C124" i="2"/>
  <c r="C43" i="2"/>
  <c r="C105" i="2"/>
  <c r="C104" i="2"/>
  <c r="B83" i="2" l="1"/>
  <c r="C82" i="2"/>
  <c r="B50" i="2"/>
  <c r="C50" i="2" s="1"/>
  <c r="C49" i="2"/>
  <c r="C125" i="2"/>
  <c r="C25" i="2"/>
  <c r="C137" i="2"/>
  <c r="C45" i="2"/>
  <c r="C44" i="2"/>
  <c r="B84" i="2" l="1"/>
  <c r="C83" i="2"/>
  <c r="C26" i="2"/>
  <c r="C139" i="2"/>
  <c r="C138" i="2"/>
  <c r="C126" i="2"/>
  <c r="B85" i="2" l="1"/>
  <c r="C84" i="2"/>
  <c r="C128" i="2"/>
  <c r="C127" i="2"/>
  <c r="C28" i="2"/>
  <c r="C27" i="2"/>
  <c r="B86" i="2" l="1"/>
  <c r="C85" i="2"/>
  <c r="B87" i="2" l="1"/>
  <c r="C86" i="2"/>
  <c r="B88" i="2" l="1"/>
  <c r="C87" i="2"/>
  <c r="B89" i="2" l="1"/>
  <c r="C89" i="2" s="1"/>
  <c r="C88" i="2"/>
</calcChain>
</file>

<file path=xl/sharedStrings.xml><?xml version="1.0" encoding="utf-8"?>
<sst xmlns="http://schemas.openxmlformats.org/spreadsheetml/2006/main" count="664" uniqueCount="271">
  <si>
    <t>REKAP INDIKATOR SUPERVISI AKADEMIK (5 Dokumen, 4 Tahap)</t>
  </si>
  <si>
    <t>Jumlah butir dihitung otomatis dari sheet tiap tahap.</t>
  </si>
  <si>
    <t>Sumber Dokumen</t>
  </si>
  <si>
    <t>1_Pra-Observasi</t>
  </si>
  <si>
    <t>2_Telaah Modul Ajar</t>
  </si>
  <si>
    <t>3_Observasi Kelas</t>
  </si>
  <si>
    <t>4_Pasca-Observasi</t>
  </si>
  <si>
    <t>Total</t>
  </si>
  <si>
    <t>Dok. 1 - Elemen Dasar, PM, Litnum &amp; STEM</t>
  </si>
  <si>
    <t>Dok. 2 - Kompetensi Sosial Emosional (KSE)</t>
  </si>
  <si>
    <t>Dok. 3 - Diferensiasi</t>
  </si>
  <si>
    <t>Dok. 4 - English and Global Framework</t>
  </si>
  <si>
    <t>Dok. 5 - Manajemen Kelas &amp; Disiplin Positif</t>
  </si>
  <si>
    <t>Kategori Elemen</t>
  </si>
  <si>
    <t>Elemen Dasar</t>
  </si>
  <si>
    <t>Elemen Dasar &amp; Litnum</t>
  </si>
  <si>
    <t>Elemen Dasar &amp; PM</t>
  </si>
  <si>
    <t>Pembelajaran Mendalam</t>
  </si>
  <si>
    <t>Pembelajaran Mendalam &amp; Elemen Dasar</t>
  </si>
  <si>
    <t>Literasi-Numerasi</t>
  </si>
  <si>
    <t>STEM</t>
  </si>
  <si>
    <t>Kompetensi Sosial Emosional</t>
  </si>
  <si>
    <t>Diferensiasi</t>
  </si>
  <si>
    <t>English and Global Framework</t>
  </si>
  <si>
    <t>Manajemen Kelas &amp; Disiplin Positif</t>
  </si>
  <si>
    <t>Cek selisih dgn tabel atas (harus 0)</t>
  </si>
  <si>
    <t>Catatan: kategori gabungan (mis. 'Elemen Dasar &amp; Litnum') ditulis persis seperti pada dokumen asli dan dihitung terpisah.</t>
  </si>
  <si>
    <t>No. Urut</t>
  </si>
  <si>
    <t>Pertanyaan Wawancara Pra-Observasi</t>
  </si>
  <si>
    <t>Keterangan / Fokus</t>
  </si>
  <si>
    <t>Salam/Pembuka yang mencairkan suasana</t>
  </si>
  <si>
    <t>Pembuka wawancara</t>
  </si>
  <si>
    <t>Tujuan Pembelajaran/Materi apa yang akan saudara sajikan?</t>
  </si>
  <si>
    <t>Identifikasi materi dan tujuan dasar</t>
  </si>
  <si>
    <t>Pendekatan Pembelajaran dan Model Pembelajaran apa yang akan saudara gunakan dalam pembelajaran di Tujuan Pembelajaran ini?</t>
  </si>
  <si>
    <t>Perencanaan model pembelajaran</t>
  </si>
  <si>
    <t>Apa alasan saudara memilih Model Pembelajaran tersebut?</t>
  </si>
  <si>
    <t>Justifikasi pedagogis dan kesesuaian strategi</t>
  </si>
  <si>
    <t>Alat dan bahan (sumber belajar) apakah yang saudara siapkan? Jelaskan alasannya.</t>
  </si>
  <si>
    <t>Kesiapan media belajar dan ketersediaan bahan/teks</t>
  </si>
  <si>
    <t>Bagaimana tahapan pembelajaran yang akan saudara sajikan!</t>
  </si>
  <si>
    <t>Alur dan tahapan kegiatan belajar</t>
  </si>
  <si>
    <t>Persiapan tertulis apa yang saudara buat!</t>
  </si>
  <si>
    <t>Kelengkapan modul ajar/RPP</t>
  </si>
  <si>
    <t>Materi apa yang dianggap sulit oleh siswa berdasarkan perkiraan saudara? Jika ada materi apa, jelaskan alasan saudara!</t>
  </si>
  <si>
    <t>Antisipasi potensi miskonsepsi siswa</t>
  </si>
  <si>
    <t>Jika ada, apa dugaan saudara mengenai sumber kesulitan siswa</t>
  </si>
  <si>
    <t>Analisis diagnostik awal guru</t>
  </si>
  <si>
    <t>Kompetensi apa yang bisa dimiliki siswa setelah mengikuti pembelajaran sesuai dengan harapan saudara?</t>
  </si>
  <si>
    <t>Target ketercapaian kompetensi</t>
  </si>
  <si>
    <t>Apa yang perlu mendapat perhatian khusus pada pembelajaran kali ini.</t>
  </si>
  <si>
    <t>Catatan khusus fokus supervisi</t>
  </si>
  <si>
    <t>Bagaimana komponen Sains, Teknologi, Rekayasa (Engineering), dan Matematika diintegrasikan untuk memecahkan masalah dalam pembelajaran ini?</t>
  </si>
  <si>
    <t>Integrasi Antardisiplin STEM</t>
  </si>
  <si>
    <t>Tantangan Rekayasa/Proyek nyata (Engineering Challenge) apa yang akan diselesaikan oleh siswa selama proses belajar?</t>
  </si>
  <si>
    <t>Orientasi Masalah &amp; Desain Rekayasa</t>
  </si>
  <si>
    <t>Kompetensi Sosial Emosional (KSE) apa saja yang secara khusus ingin Saudara tumbuhkan pada murid dalam pembelajaran ini?</t>
  </si>
  <si>
    <t>Target KSE Pembelajaran</t>
  </si>
  <si>
    <t>Strategi atau teknik apa yang Saudara siapkan untuk membangun kesadaran diri/pengelolaan emosi murid (misalnya: teknik STOP, check-in emosi, kesepakatan kelas)?</t>
  </si>
  <si>
    <t>Strategi &amp; Teknik KSE</t>
  </si>
  <si>
    <t>Bagaimana Saudara merancang kegiatan kelompok agar murid dapat melatih kesadaran sosial (empati) dan keterampilan relasi saat bekerja sama?</t>
  </si>
  <si>
    <t>Dinamika Interaksi &amp; Kolaborasi</t>
  </si>
  <si>
    <t>Bagaimana Saudara memetakan kebutuhan belajar murid (kesiapan belajar, minat, atau profil belajar) sebelum menyusun pembelajaran ini?</t>
  </si>
  <si>
    <t>Pemetaan Kebutuhan Belajar</t>
  </si>
  <si>
    <t>Bentuk diferensiasi apa yang akan Saudara terapkan (konten, proses, produk, atau lingkungan belajar) dalam pembelajaran kali ini?</t>
  </si>
  <si>
    <t>Strategi Diferensiasi</t>
  </si>
  <si>
    <t>Bagaimana Saudara merancang pendampingan (scaffolding) bagi murid yang membutuhkan bantuan lebih serta tantangan bagi murid yang sudah mahir?</t>
  </si>
  <si>
    <t>Penanganan Keberagaman Murid</t>
  </si>
  <si>
    <t>Bagaimana Saudara memfasilitasi pembelajaran menggunakan bahasa Inggris sebagai pengantar (Medium of Instruction) serta memastikan kosa kata akademis (academic vocabulary) tersampaikan dengan tepat?</t>
  </si>
  <si>
    <t>Fasilitasi &amp; Penyampaian Bahasa Inggris</t>
  </si>
  <si>
    <t>Sumber belajar berpendekatan/berkurikulum internasional apa (misalnya materi Cambridge, IB, atau teks global otentik) dari sekolah yang akan Saudara gunakan dalam pembelajaran ini?</t>
  </si>
  <si>
    <t>Integrasi Sumber Belajar Internasional</t>
  </si>
  <si>
    <t>Strategi pendampingan bahasa (language scaffolding) apa yang Saudara siapkan bagi murid yang memerlukan bantuan dalam memahami materi berbahasa Inggris?</t>
  </si>
  <si>
    <t>Dukungan Bahasa (Language Scaffolding)</t>
  </si>
  <si>
    <t>Kesepakatan atau keyakinan kelas apa yang disepakati bersama murid, dan bagaimana Saudara akan memantaunya selama pembelajaran?</t>
  </si>
  <si>
    <t>Penerapan Keyakinan Kelas</t>
  </si>
  <si>
    <t>Strategi disiplin positif apa yang Saudara siapkan untuk merespons perilaku murid yang mengganggu atau kurang fokus secara konstruktif (non-punitif/tanpa hukuman)?</t>
  </si>
  <si>
    <t>Respon Perilaku Konstruktif</t>
  </si>
  <si>
    <t>Bagaimana Saudara merancang alur kegiatan student-centered yang memberi ruang aman bagi murid untuk aktif berpartisipasi dan percaya diri menyampaikan pendapat?</t>
  </si>
  <si>
    <t>Lingkungan Aman &amp; Partisipasi Aktif</t>
  </si>
  <si>
    <t>Tujuan, langkah pembelajaran, dan asesmen selaras dengan Capaian Pembelajaran, Visi Sekolah dan Profil Lulusan</t>
  </si>
  <si>
    <t>Keselarasan Perencanaan</t>
  </si>
  <si>
    <t>Tujuan pembelajaran dirumuskan menggunakan kata kerja operasional yang jelas</t>
  </si>
  <si>
    <t>Tujuan pembelajaran memuat kompetensi literasi dan/atau numerasi</t>
  </si>
  <si>
    <t>Tujuan pembelajaran menggunakan konteks kehidupan nyata</t>
  </si>
  <si>
    <t>Tujuan pembelajaran mendorong berpikir kritis, kreatif, dan pemecahan masalah</t>
  </si>
  <si>
    <t>Tujuan pembelajaran merumuskan penyelesaian masalah dunia nyata melalui integrasi pendekatan STEM (Sains, Teknologi, Rekayasa, dan Matematika)</t>
  </si>
  <si>
    <t>Lingkungan belajar mendukung pembelajaran mendalam</t>
  </si>
  <si>
    <t>Kerangka Pembelajaran</t>
  </si>
  <si>
    <t>Kemitraan pembelajaran tergambar dalam aktivitas belajar</t>
  </si>
  <si>
    <t>Pemanfaatan teknologi/digital mendukung pembelajaran</t>
  </si>
  <si>
    <t>Praktik Pedagogis bertujuan untuk pembelajaran berpusat pada murid</t>
  </si>
  <si>
    <t>Modul Ajar merancang Tahapan Proses Desain Rekayasa (Engineering Design Process: Memahami Masalah, Merancang, Membuat Prototipe, Menguji, &amp; Memperbaiki)</t>
  </si>
  <si>
    <t>Kerangka Pembelajaran (EDP)</t>
  </si>
  <si>
    <t>Menghubungkan pengetahuan awal dengan materi baru</t>
  </si>
  <si>
    <t>Pengalaman Belajar (Memahami)</t>
  </si>
  <si>
    <t>Menstimulasi berpikir tingkat tinggi</t>
  </si>
  <si>
    <t>Mengintegrasikan aktivitas literasi (membaca, mengidentifikasi, menganalisis, menyimpulkan)</t>
  </si>
  <si>
    <t>Mengintegrasikan aktivitas numerasi (menghitung, membaca data, grafik, tabel, diagram)</t>
  </si>
  <si>
    <t>Menghubungkan konsep dengan kehidupan nyata</t>
  </si>
  <si>
    <t>Menganalisis fenomena sains dan dasar teori matematika/teknologi yang mendasari tantangan masalah yang akan diselesaikan</t>
  </si>
  <si>
    <t>Menanamkan karakter, etika, dan nilai positif</t>
  </si>
  <si>
    <t>Memberikan kesempatan menerapkan konsep dalam konteks nyata untuk memecahkan permasalahan</t>
  </si>
  <si>
    <t>Pengalaman Belajar (Mengaplikasi)</t>
  </si>
  <si>
    <t>Mengembangkan kolaborasi dan eksplorasi</t>
  </si>
  <si>
    <t>Menggunakan data/informasi untuk menyelesaikan masalah</t>
  </si>
  <si>
    <t>Mengembangkan kreativitas dan inovasi</t>
  </si>
  <si>
    <t>Menggunakan literasi dan numerasi sebagai alat pemecahan masalah</t>
  </si>
  <si>
    <t>Merancang, membuat prototipe/sketsa solusi rekayasa, dan menguji coba keberhasilan solusi menggunakan perhitungan matematika/alat teknologi</t>
  </si>
  <si>
    <t>Melakukan evaluasi hasil uji coba produk/solusi dan merencanakan perbaikan/redesain (iteration)</t>
  </si>
  <si>
    <t>Murid melakukan refleksi terhadap proses belajar</t>
  </si>
  <si>
    <t>Pengalaman Belajar (Merefleksi)</t>
  </si>
  <si>
    <t>Murid melakukan evaluasi diri terhadap hasil belajar</t>
  </si>
  <si>
    <t>Mendorong metakognisi (belajar bagaimana belajar)</t>
  </si>
  <si>
    <t>Mendorong regulasi emosi dan motivasi belajar</t>
  </si>
  <si>
    <t>Menentukan tindak lanjut pembelajaran</t>
  </si>
  <si>
    <t>Pembelajaran berkesadaran (guru menyampaikan tujuan pembelajaran)</t>
  </si>
  <si>
    <t>Prinsip PM</t>
  </si>
  <si>
    <t>Pembelajaran bermakna (pembelajaran dikaitkan dengan kehidupan nyata)</t>
  </si>
  <si>
    <t>Pembelajaran menggembirakan (pembelajaran memotivasi suasana positif)</t>
  </si>
  <si>
    <t>Aktivitas membaca berbagai sumber informasi dirancang secara sistematis</t>
  </si>
  <si>
    <t>Penguatan Litnum</t>
  </si>
  <si>
    <t>Aktivitas analisis teks/informasi dilakukan secara kritis</t>
  </si>
  <si>
    <t>Aktivitas interpretasi data/grafik/tabel dirancang</t>
  </si>
  <si>
    <t>Pertanyaan pemantik mendorong berpikir kritis</t>
  </si>
  <si>
    <t>Media pembelajaran mendukung literasi</t>
  </si>
  <si>
    <t>Media pembelajaran mendukung numerasi</t>
  </si>
  <si>
    <t>Variasi sumber informasi memperkaya pengalaman belajar (teks, artikel, grafik, video, infografik, data, tabel, media digital)</t>
  </si>
  <si>
    <t>Sumber belajar relevan dengan karakteristik murid</t>
  </si>
  <si>
    <t>Asesmen awal mengidentifikasi kesiapan belajar murid</t>
  </si>
  <si>
    <t>Asesmen Pembelajaran</t>
  </si>
  <si>
    <t>Asesmen formatif dilaksanakan selama proses belajar</t>
  </si>
  <si>
    <t>Asesmen sumatif mengukur ketercapaian tujuan pembelajaran</t>
  </si>
  <si>
    <t>Instrumen mengukur kemampuan literasi</t>
  </si>
  <si>
    <t>Instrumen mengukur kemampuan numerasi</t>
  </si>
  <si>
    <t>Asesmen/rubrik menilai hasil karya rekayasa (prototipe/solusi), penalaran ilmiah (Sains), dan ketepatan kalkulasi/pemodelan (Matematika)</t>
  </si>
  <si>
    <t>Rubrik penilaian jelas dan sesuai indikator</t>
  </si>
  <si>
    <t>Tujuan/Langkah pembelajaran secara eksplisit memuat penguatan Kompetensi Sosial Emosional (KSE) murid</t>
  </si>
  <si>
    <t>Modul Ajar merancang kegiatan awal/rutinitas yang membangun Kesadaran Diri dan Manajemen Diri murid (misal: Roda Emosi, Mindfulness/Teknik STOP, atau doa berkesadaran)</t>
  </si>
  <si>
    <t>Kerangka Pembelajaran (Kesadaran &amp; Manajemen Diri)</t>
  </si>
  <si>
    <t>Langkah pembelajaran memfasilitasi Keterampilan Relasi dan Kesadaran Sosial melalui instruksi kerja kelompok yang saling menghargai dan berempati</t>
  </si>
  <si>
    <t>Pengalaman Belajar (Relasi &amp; Kesadaran Sosial)</t>
  </si>
  <si>
    <t>Aktivitas pembelajaran memberi ruang bagi murid untuk latihan Pengambilan Keputusan yang Bertanggung Jawab dalam menyelesaikan tugas/masalah</t>
  </si>
  <si>
    <t>Pengalaman Belajar (Keputusan Bertanggung Jawab)</t>
  </si>
  <si>
    <t>Instrumen/rubrik asesmen mencakup lembar observasi sikap sosial-emosional dan refleksi diri/antarteman</t>
  </si>
  <si>
    <t>Modul Ajar mencantumkan hasil pemetaan awal kebutuhan belajar murid (kesiapan belajar, minat, atau profil/gaya belajar) sebagai dasar perancangan</t>
  </si>
  <si>
    <t>DIFERENSIASI KONTEN: Modul Ajar menyediakan variasi bahan ajar/sumber belajar (teks, gambar/audio-visual, manipulatif/konkret, media digital) sesuai tingkat kesiapan murid</t>
  </si>
  <si>
    <t>Kerangka Pembelajaran (Konten)</t>
  </si>
  <si>
    <t>DIFERENSIASI PROSES: Langkah pembelajaran merancang pilihan alur/kegiatan belajar dan jenjang pendampingan (scaffolding) yang disesuaikan dengan kemampuan murid</t>
  </si>
  <si>
    <t>Pengalaman Belajar (Proses)</t>
  </si>
  <si>
    <t>DIFERENSIASI PRODUK: Tugas/asesmen memberikan variasi/pilihan cara bagi murid untuk menunjukkan ketercapaian tujuan pembelajaran sesuai minat dan kemampuannya</t>
  </si>
  <si>
    <t>Pengalaman Belajar (Produk)</t>
  </si>
  <si>
    <t>DIFERENSIASI LINGKUNGAN BELAJAR: Perencanaan ruang kelas dan pengelompokan murid dirancang fleksibel (individu, berpasangan, atau kelompok berbasis kemampuan/minat)</t>
  </si>
  <si>
    <t>Kerangka Pembelajaran (Lingkungan)</t>
  </si>
  <si>
    <t>Modul Ajar merumuskan target bahasa (Language Objectives) dan kosa kata kunci akademis (key academic vocabulary) dalam bahasa Inggris secara jelas</t>
  </si>
  <si>
    <t>Keselarasan Perencanaan (Target Bahasa)</t>
  </si>
  <si>
    <t>Kerangka RPP mengintegrasikan struktur kurikulum/pendekatan internasional yang diadopsi sekolah (seperti Cambridge, IB, atau kerangka global sejenis)</t>
  </si>
  <si>
    <t>Kerangka Pembelajaran (Kerangka Global)</t>
  </si>
  <si>
    <t>Modul Ajar memanfaatkan bahan ajar, platform digital, atau learning resources internasional resmi yang disediakan sekolah</t>
  </si>
  <si>
    <t>Kerangka Pembelajaran (Sumber Belajar)</t>
  </si>
  <si>
    <t>Langkah pembelajaran merancang dukungan bahasa (scaffolding) seperti glossary, sentence starters, atau bantuan visual untuk mempermudah pemahaman teks/konsep bahasa Inggris</t>
  </si>
  <si>
    <t>Pengalaman Belajar (Dukungan Bahasa)</t>
  </si>
  <si>
    <t>Instrumen asesmen mengadopsi standar/rubrik penilaian internasional dan mengukur pemahaman konsep sekaligus kemampuan komunikasi akademis murid dalam bahasa Inggris</t>
  </si>
  <si>
    <t>Asesmen Pembelajaran (Standar Internasional)</t>
  </si>
  <si>
    <t>Modul Ajar merancang penguatan kesepakatan/keyakinan kelas di awal pembelajaran untuk membangun budaya positif bersama murid</t>
  </si>
  <si>
    <t>Keselarasan Perencanaan (Budaya Positif)</t>
  </si>
  <si>
    <t>Perencanaan pembelajaran merancang alur student-centered yang memberi peran aktif, kepemimpinan, dan kesempatan berpendapat bagi seluruh murid</t>
  </si>
  <si>
    <t>Kerangka Pembelajaran (Student-Centered)</t>
  </si>
  <si>
    <t>Modul Ajar memuat strategi penguatan positif (positive reinforcement) dan penanganan gangguan belajar secara restitutif (bukan hukuman/sanksi fisik/verbal)</t>
  </si>
  <si>
    <t>Pengalaman Belajar (Respon Restitutif)</t>
  </si>
  <si>
    <t>Perencanaan manajemen kelompok dan prosedur transisi antar-kegiatan dirancang terstruktur dan efisien untuk meminimalkan waktu terbuang (downtime)</t>
  </si>
  <si>
    <t>Kerangka Pembelajaran (Prosedur &amp; Transisi)</t>
  </si>
  <si>
    <t>Rancangan penilaian dan iklim belajar mencerminkan sikap tidak menghakimi (non-judgmental), inklusif, dan mendukung kepercayaan diri murid</t>
  </si>
  <si>
    <t>Asesmen &amp; Iklim Belajar</t>
  </si>
  <si>
    <t>Menyiapkan fisik dan psikis murid (memeriksa kehadiran, kelengkapan belajar, kesiapan belajar, dsb.)</t>
  </si>
  <si>
    <t>Pendahuluan</t>
  </si>
  <si>
    <t>Memotivasi belajar secara kontekstual dengan menampilkan isu atau permasalahan agar murid memahami manfaat belajar</t>
  </si>
  <si>
    <t>Mengajukan pertanyaan reflektif dan esensial untuk memicu rasa ingin tahu murid</t>
  </si>
  <si>
    <t>Memaparkan Tantangan STEM dunia nyata (Real-World Challenge) yang membutuhkan integrasi sains, teknologi, rekayasa, dan matematika</t>
  </si>
  <si>
    <t>Menyampaikan tujuan pembelajaran sesuai kebutuhan murid, termasuk tujuan yang memuat aktivitas literasi dan/atau numerasi dalam konteks kehidupan sehari-hari</t>
  </si>
  <si>
    <t>Menyampaikan rencana kegiatan pembelajaran (kerja kelompok atau kerja individual, dsb.)</t>
  </si>
  <si>
    <t>Menstimulasi murid untuk bertanya dan mengajukan pertanyaan eksploratif tentang materi melalui berbagai sumber (membaca/praktik/simulasi/demonstrasi, dsb.)</t>
  </si>
  <si>
    <t>Kegiatan Inti</t>
  </si>
  <si>
    <t>Menciptakan lingkungan belajar yang melibatkan murid aktif menggali informasi dari berbagai sumber teks multimoda (buku, artikel, infografik, grafik, atau media digital) yang relevan dan sesuai kemampuan murid</t>
  </si>
  <si>
    <t>MEMAHAMI: Memfasilitasi murid mengonstruksi pemahaman mendalam dengan menghubungkan pengetahuan baru-lama serta konteks nyata/kehidupan sehari-hari</t>
  </si>
  <si>
    <t>Kegiatan Inti (Memahami)</t>
  </si>
  <si>
    <t>MEMAHAMI: Memfasilitasi murid menganalisis prinsip sains dan penalaran matematika yang menjadi dasar pemecahan masalah/proyek</t>
  </si>
  <si>
    <t>MEMAHAMI: Menstimulasi proses berpikir, memberi kebebasan eksploratif-kolaboratif, serta menanamkan nilai moral, etika, dan karakter murid</t>
  </si>
  <si>
    <t>MENGAPLIKASI: Memfasilitasi murid mengaplikasikan pemahaman secara kontekstual dengan menghubungkan dan menerapkan konsep ke situasi/bidang nyata</t>
  </si>
  <si>
    <t>Kegiatan Inti (Mengaplikasi)</t>
  </si>
  <si>
    <t>MENGAPLIKASI (REKAYASA &amp; TEKNOLOGI): Memfasilitasi murid merancang, merakit prototipe/solusi, atau mensimulasikan teknologi untuk menjawab tantangan</t>
  </si>
  <si>
    <t>MENGAPLIKASI (UJI COBA &amp; PERBAIKAN): Memfasilitasi murid melakukan uji coba prototipe, menganalisis data hasil uji secara matematis, serta melakukan perbaikan desain (redesain)</t>
  </si>
  <si>
    <t>MENGAPLIKASI: Mengembangkan pemahaman melalui eksplorasi lebih lanjut serta berpikir kritis mencari solusi inovatif</t>
  </si>
  <si>
    <t>REFLEKSI: Memfasilitasi murid menyimpulkan dan merefleksikan proses serta hasil pembelajaran yang telah dicapai secara mandiri dan kolaboratif</t>
  </si>
  <si>
    <t>Kegiatan Penutup</t>
  </si>
  <si>
    <t>REFLEKSI STEM: Mendorong murid merefleksikan keefektifan desain rekayasa/solusi STEM serta optimasi penggunaan sains dan matematika</t>
  </si>
  <si>
    <t>UMPAN BALIK: Memberikan umpan balik konstruktif, apresiasi, serta penguatan atas pencapaian kompetensi dan karakter murid</t>
  </si>
  <si>
    <t>TINDAK LANJUT: Menyampaikan informasi rencana pembelajaran berikutnya atau tugas pengembangan mandiri berbasis penguatan literasi/numerasi</t>
  </si>
  <si>
    <t>KESADARAN DIRI &amp; MANAJEMEN DIRI: Memfasilitasi kegiatan pengondisian emosi/fokus murid di awal pembelajaran (misal: check-in emosi, teknik STOP, atau ajakan menghadirkan diri secara penuh)</t>
  </si>
  <si>
    <t>KESADARAN SOSIAL: Mendorong murid untuk saling mendengarkan, menghargai pendapat teman, dan menunjukkan empati selama proses diskusi/pembelajaran</t>
  </si>
  <si>
    <t>KETERAMPILAN RELASI: Memfasilitasi kerja sama kelompok yang inklusif, saling mendukung, dan mengelola perbedaan pendapat secara positif</t>
  </si>
  <si>
    <t>PENGAMBILAN KEPUTUSAN BERTANGGUNG JAWAB: Membimbing murid mempertimbangkan konsekuensi, etika, dan kelogisan dalam memilih strategi/solusi penyelesaian tugas</t>
  </si>
  <si>
    <t>REFLEKSI EMOSIONAL &amp; PENUTUP OPTIMISTIK: Memfasilitasi murid meresapi perasaan/kesan yang dialami selama belajar serta memberikan apresiasi positif atas usaha bersama</t>
  </si>
  <si>
    <t>PEMETAAN &amp; PENGELOMPOKAN: Mengarahkan atau mengelompokkan murid secara fleksibel berdasarkan kesiapan belajar, minat, atau gaya belajar yang telah diidentifikasi</t>
  </si>
  <si>
    <t>DIFERENSIASI KONTEN: Menyediakan dan memfasilitasi akses berbagai bentuk sumber belajar/materi (visual, auditori, kinestetik/konkret) sesuai kebutuhan murid</t>
  </si>
  <si>
    <t>DIFERENSIASI PROSES &amp; SCAFFOLDING: Memberikan bimbingan terarah (scaffolding) bagi kelompok murid yang kesulitan serta tantangan pengayaan bagi murid yang cepat paham</t>
  </si>
  <si>
    <t>DIFERENSIASI PRODUK: Memberi kesempatan kepada murid untuk mempresentasikan/menunjukkan hasil pemahamannya dalam beragam format pilihan (tulisan, lisan, karya visual/produk)</t>
  </si>
  <si>
    <t>UMPAN BALIK BERDIFERENSIASI: Memberikan umpan balik dan tugas tindak lanjut yang disesuaikan dengan tingkat pencapaian masing-masing murid/kelompok</t>
  </si>
  <si>
    <t>CLASSROOM ENGLISH &amp; OPENING: Membuka pembelajaran dan menyampaikan tujuan serta instruksi belajar menggunakan bahasa Inggris yang baik, benar, dan mudah dipahami murid</t>
  </si>
  <si>
    <t>INSTRUCTIONAL DELIVERY IN ENGLISH: Menjelaskan materi dan konsep akademis dalam bahasa Inggris yang akurat (tata bahasa, pelafalan/pronunciation, dan intonasi tepat) dengan language scaffolding yang efektif</t>
  </si>
  <si>
    <t>USE OF INTERNATIONAL RESOURCES: Memanfaatkan secara optimal buku teks, lembar kerja, platform digital, atau media pembelajaran berkategori internasional yang disediakan sekolah</t>
  </si>
  <si>
    <t>STUDENT ENGLISH ENGAGEMENT: Memfasilitasi dan memotivasi murid untuk aktif berdiskusi, bertanya, dan mempresentasikan hasil kerja mereka menggunakan bahasa Inggris</t>
  </si>
  <si>
    <t>ENGLISH CLOSING &amp; GLOBAL PERSPECTIVE: Memfasilitasi refleksi dan memberikan penguatan/umpan balik dalam bahasa Inggris yang positif, serta mengaitkan pembelajaran dengan konteks/wawasan global</t>
  </si>
  <si>
    <t>CLASS AGREEMENT &amp; TONE SETTING: Mengingatkan kesepakatan/keyakinan kelas serta membangun suasana belajar yang hangat, ramah, dan menghargai murid sejak awal</t>
  </si>
  <si>
    <t>POSITIVE BEHAVIOR MANAGEMENT: Merespons perilaku murid yang kurang fokus atau mengganggu secara tenang, konsisten, dan memulihkan (restitusi), tanpa menggunakan nada tinggi, ancaman, atau hukuman</t>
  </si>
  <si>
    <t>PSYCHOLOGICAL SAFETY &amp; CONFIDENCE: Menunjukkan respon positif/suportif terhadap kesalahan atau ketidakfahaman murid sehingga murid merasa aman dan percaya diri untuk mencoba/berpendapat</t>
  </si>
  <si>
    <t>SMOOTH TRANSITION &amp; EFFICIENT ROUTINE: Mengelola perpindahan aktivitas/kelompok secara lancar, tertib, dan jelas sehingga alur pembelajaran tetap fokus pada murid (student-centered)</t>
  </si>
  <si>
    <t>REVIU BEHAVIOR &amp; POSITIVE APPRECIATION: Mengajak murid merefleksikan keterlaksanaan kesepakatan kelas serta memberikan apresiasi spesifik atas kerja sama dan partisipasi aktif murid</t>
  </si>
  <si>
    <t>Salam /Pembuka</t>
  </si>
  <si>
    <t>Bagaimana kesan/perasaan Saudara setelah menyajikan pelajaran ini?</t>
  </si>
  <si>
    <t>Refleksi kondisi emosional guru</t>
  </si>
  <si>
    <t>Apakah proses pembelajaran sudah sesuai dengan yang direncanakan?</t>
  </si>
  <si>
    <t>Evaluasi keselarasan rencana &amp; eksekusi</t>
  </si>
  <si>
    <t>Coba Saudara ceritakan hal-hal yang saudara rasa telah memuaskan dan hal-hal yang kurang memuaskan dalam pembelajaran tadi!</t>
  </si>
  <si>
    <t>Evaluasi mandiri pelaksanaan pembelajaran</t>
  </si>
  <si>
    <t>Bagaimana perkiraan Saudara mengenai ketercapaian kompetensi siswa?</t>
  </si>
  <si>
    <t>Refleksi ketercapaian pemahaman siswa</t>
  </si>
  <si>
    <t>Apa yang menjadi kesulitan siswa?</t>
  </si>
  <si>
    <t>Diagnostik kendala pemahaman siswa</t>
  </si>
  <si>
    <t>Sejauh mana proses rekayasa (Engineering Design Process) dan kolaborasi tim siswa dalam membuat/menguji solusi STEM berjalan sesuai target?</t>
  </si>
  <si>
    <t>Evaluasi Implementasi STEM</t>
  </si>
  <si>
    <t>Apa yang menjadi kesulitan Saudara?</t>
  </si>
  <si>
    <t>Identifikasi kendala teknis/pedagogis guru</t>
  </si>
  <si>
    <t>Bagaimana alternatif untuk mengatasi kesulitan itu?</t>
  </si>
  <si>
    <t>Pemecahan masalah &amp; ide perbaikan</t>
  </si>
  <si>
    <t>Bagaimana rencana Saudara untuk menyempurnakan integrasi teknologi, sains, atau matematika pada proyek/pertemuan berikutnya?</t>
  </si>
  <si>
    <t>Tindak Lanjut &amp; Optimasi STEM</t>
  </si>
  <si>
    <t>Marilah bersama-sama kita identifikasi hal-hal yang telah mantap dan hal-hal yang perlu peningkatan berdasarkan kegiatan yang baru saja Saudara lakukan dan pengamatan saya!</t>
  </si>
  <si>
    <t>Refleksi kolaboratif &amp; tindak lanjut supervisi</t>
  </si>
  <si>
    <t>Apa yang Saudara sarankan untuk dilaksanakan pada pertemuan berikutnya? (Termasuk Kesan Umum &amp; Saran)</t>
  </si>
  <si>
    <t>Rencana tindak lanjut dan rekomendasi</t>
  </si>
  <si>
    <t>Bagaimana pengamatan Saudara terhadap respon dan dinamika emosional murid saat penerapan teknik KSE tadi?</t>
  </si>
  <si>
    <t>Refleksi Pelaksanaan KSE</t>
  </si>
  <si>
    <t>Sejauh mana murid mampu menunjukkan sikap saling menghargai, berkolaborasi, dan mengelola dorongan emosinya selama kegiatan belajar?</t>
  </si>
  <si>
    <t>Evaluasi Ketercapaian KSE</t>
  </si>
  <si>
    <t>Apa kendala yang Saudara hadapi dalam mengelola iklim sosial-emosional kelas, dan bagaimana rencana perbaikannya pada pertemuan berikutnya?</t>
  </si>
  <si>
    <t>Tindak Lanjut &amp; Iklim Kelas</t>
  </si>
  <si>
    <t>Sejauh mana penerapan strategi diferensiasi (konten, proses, produk, atau lingkungan) yang Saudara lakukan efektif memenuhi kebutuhan belajar murid yang beragam?</t>
  </si>
  <si>
    <t>Refleksi Strategi Diferensiasi</t>
  </si>
  <si>
    <t>Bagaimana respon, keterlibatan, dan pemahaman murid dengan tingkat kesiapan belajar yang berbeda selama proses pembelajaran tadi?</t>
  </si>
  <si>
    <t>Evaluasi Respon Murid</t>
  </si>
  <si>
    <t>Apa penyesuaian atau rencana tindak lanjut yang akan Saudara lakukan untuk pendampingan murid yang belum mencapai target dan pengayaan bagi murid yang sudah melampaui?</t>
  </si>
  <si>
    <t>Tindak Lanjut &amp; Remedial/Pengayaan</t>
  </si>
  <si>
    <t>Bagaimana evaluasi Saudara terhadap kelancaran penggunaan bahasa Inggris (instructional English) dan pemahaman murid selama proses belajar berlangsung?</t>
  </si>
  <si>
    <t>Refleksi Penggunaan Bahasa Inggris</t>
  </si>
  <si>
    <t>Sejauh mana learning resources berkategori internasional dari sekolah mampu membantu murid memahami materi dan mencapai target pembelajaran?</t>
  </si>
  <si>
    <t>Evaluasi Pemanfaatan Sumber Global</t>
  </si>
  <si>
    <t>Apa rencana perbaikan atau pengembangan yang akan Saudara lakukan untuk mengoptimalkan fasilitasi bahasa Inggris dan integrasi kerangka global pada pembelajaran berikutnya?</t>
  </si>
  <si>
    <t>Tindak Lanjut &amp; Optimasi Kerangka Global</t>
  </si>
  <si>
    <t>Bagaimana evaluasi Saudara terhadap efektivitas penerapan disiplin positif dalam menjaga suasana kelas tetap kondusif dan murid tetap aktif berpartisipasi?</t>
  </si>
  <si>
    <t>Refleksi Manajemen Kelas</t>
  </si>
  <si>
    <t>Sejauh mana strategi yang Saudara lakukan berhasil membangun rasa aman secara psikologis dan kepercayaan diri murid selama proses belajar berlangsung?</t>
  </si>
  <si>
    <t>Evaluasi Kepercayaan Diri Murid</t>
  </si>
  <si>
    <t>Apa rencana perbaikan atau penguatan yang akan Saudara lakukan untuk menjaga konsistensi budaya disiplin positif dan kesepakatan kelas pada pembelajaran berikutnya?</t>
  </si>
  <si>
    <t>Tindak Lanjut &amp; Budaya Positif</t>
  </si>
  <si>
    <t>Tahap</t>
  </si>
  <si>
    <t>1TelaahModulAjar</t>
  </si>
  <si>
    <t>3Observasi</t>
  </si>
  <si>
    <t>4PostObs</t>
  </si>
  <si>
    <t>2PraObs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</si>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</sst>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1"/>
      <color rgb="FFFFFFFF"/>
      <name val="Arial"/>
      <family val="2"/>
    </font>
    <font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EDE1F5"/>
        <b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DDEBF7"/>
          <bgColor rgb="FFEDE1F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right style="thin">
          <color rgb="FFBFBFBF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8EF31-14B1-40A4-BBA9-2FA5104FA97B}" name="Table1" displayName="Table1" ref="A2:F158" totalsRowShown="0" headerRowDxfId="6" tableBorderDxfId="5">
  <autoFilter ref="A2:F158" xr:uid="{1788EF31-14B1-40A4-BBA9-2FA5104FA97B}"/>
  <sortState xmlns:xlrd2="http://schemas.microsoft.com/office/spreadsheetml/2017/richdata2" ref="A3:F158">
    <sortCondition ref="E3:E158"/>
    <sortCondition ref="A3:A158"/>
  </sortState>
  <tableColumns count="6">
    <tableColumn id="1" xr3:uid="{1DF564B9-64B5-4D15-BA85-EBC5A4DF4196}" name="Tahap"/>
    <tableColumn id="2" xr3:uid="{C195AD3E-58D0-4AB4-BC48-52750035ED70}" name="No. Urut" dataDxfId="4">
      <calculatedColumnFormula>TEXT(IF(A3=A2,B2+1,1),"00")</calculatedColumnFormula>
    </tableColumn>
    <tableColumn id="4" xr3:uid="{5715DF91-EDAE-4232-8B14-E14F9A0E1CA7}" name="ID" dataDxfId="3">
      <calculatedColumnFormula>UPPER(LEFT(E3,3)&amp;LEFT(A3,1)&amp;B3)</calculatedColumnFormula>
    </tableColumn>
    <tableColumn id="5" xr3:uid="{9C09A424-DCFE-4B4D-B13F-4263E14B1274}" name="Pertanyaan Wawancara Pra-Observasi" dataDxfId="2"/>
    <tableColumn id="6" xr3:uid="{681DFE34-E988-4C1B-9EFF-D6058B67C7B9}" name="Kategori Elemen" dataDxfId="1"/>
    <tableColumn id="7" xr3:uid="{B1233B39-2B0C-4593-BFF5-CE7221CCF78F}" name="Keterangan / Fok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7" zoomScaleNormal="100" workbookViewId="0"/>
  </sheetViews>
  <sheetFormatPr defaultColWidth="8.6328125" defaultRowHeight="14.5" x14ac:dyDescent="0.35"/>
  <cols>
    <col min="1" max="1" width="46" customWidth="1"/>
    <col min="2" max="6" width="20" customWidth="1"/>
  </cols>
  <sheetData>
    <row r="1" spans="1:6" ht="18" x14ac:dyDescent="0.4">
      <c r="A1" s="1" t="s">
        <v>0</v>
      </c>
    </row>
    <row r="2" spans="1:6" x14ac:dyDescent="0.35">
      <c r="A2" s="2" t="s">
        <v>1</v>
      </c>
    </row>
    <row r="4" spans="1:6" ht="31.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5">
      <c r="A5" s="4" t="s">
        <v>8</v>
      </c>
      <c r="B5" s="5" t="e">
        <f>COUNTIF('Indikator Supervisi Akademik'!#REF!,$A5)</f>
        <v>#REF!</v>
      </c>
      <c r="C5" s="5" t="e">
        <f>COUNTIF(#REF!,$A5)</f>
        <v>#REF!</v>
      </c>
      <c r="D5" s="5" t="e">
        <f>COUNTIF(#REF!,$A5)</f>
        <v>#REF!</v>
      </c>
      <c r="E5" s="5" t="e">
        <f>COUNTIF(#REF!,$A5)</f>
        <v>#REF!</v>
      </c>
      <c r="F5" s="5" t="e">
        <f>SUM(B5:E5)</f>
        <v>#REF!</v>
      </c>
    </row>
    <row r="6" spans="1:6" x14ac:dyDescent="0.35">
      <c r="A6" s="4" t="s">
        <v>9</v>
      </c>
      <c r="B6" s="5" t="e">
        <f>COUNTIF('Indikator Supervisi Akademik'!#REF!,$A6)</f>
        <v>#REF!</v>
      </c>
      <c r="C6" s="5" t="e">
        <f>COUNTIF(#REF!,$A6)</f>
        <v>#REF!</v>
      </c>
      <c r="D6" s="5" t="e">
        <f>COUNTIF(#REF!,$A6)</f>
        <v>#REF!</v>
      </c>
      <c r="E6" s="5" t="e">
        <f>COUNTIF(#REF!,$A6)</f>
        <v>#REF!</v>
      </c>
      <c r="F6" s="5" t="e">
        <f>SUM(B6:E6)</f>
        <v>#REF!</v>
      </c>
    </row>
    <row r="7" spans="1:6" x14ac:dyDescent="0.35">
      <c r="A7" s="4" t="s">
        <v>10</v>
      </c>
      <c r="B7" s="5" t="e">
        <f>COUNTIF('Indikator Supervisi Akademik'!#REF!,$A7)</f>
        <v>#REF!</v>
      </c>
      <c r="C7" s="5" t="e">
        <f>COUNTIF(#REF!,$A7)</f>
        <v>#REF!</v>
      </c>
      <c r="D7" s="5" t="e">
        <f>COUNTIF(#REF!,$A7)</f>
        <v>#REF!</v>
      </c>
      <c r="E7" s="5" t="e">
        <f>COUNTIF(#REF!,$A7)</f>
        <v>#REF!</v>
      </c>
      <c r="F7" s="5" t="e">
        <f>SUM(B7:E7)</f>
        <v>#REF!</v>
      </c>
    </row>
    <row r="8" spans="1:6" x14ac:dyDescent="0.35">
      <c r="A8" s="4" t="s">
        <v>11</v>
      </c>
      <c r="B8" s="5" t="e">
        <f>COUNTIF('Indikator Supervisi Akademik'!#REF!,$A8)</f>
        <v>#REF!</v>
      </c>
      <c r="C8" s="5" t="e">
        <f>COUNTIF(#REF!,$A8)</f>
        <v>#REF!</v>
      </c>
      <c r="D8" s="5" t="e">
        <f>COUNTIF(#REF!,$A8)</f>
        <v>#REF!</v>
      </c>
      <c r="E8" s="5" t="e">
        <f>COUNTIF(#REF!,$A8)</f>
        <v>#REF!</v>
      </c>
      <c r="F8" s="5" t="e">
        <f>SUM(B8:E8)</f>
        <v>#REF!</v>
      </c>
    </row>
    <row r="9" spans="1:6" x14ac:dyDescent="0.35">
      <c r="A9" s="4" t="s">
        <v>12</v>
      </c>
      <c r="B9" s="5" t="e">
        <f>COUNTIF('Indikator Supervisi Akademik'!#REF!,$A9)</f>
        <v>#REF!</v>
      </c>
      <c r="C9" s="5" t="e">
        <f>COUNTIF(#REF!,$A9)</f>
        <v>#REF!</v>
      </c>
      <c r="D9" s="5" t="e">
        <f>COUNTIF(#REF!,$A9)</f>
        <v>#REF!</v>
      </c>
      <c r="E9" s="5" t="e">
        <f>COUNTIF(#REF!,$A9)</f>
        <v>#REF!</v>
      </c>
      <c r="F9" s="5" t="e">
        <f>SUM(B9:E9)</f>
        <v>#REF!</v>
      </c>
    </row>
    <row r="10" spans="1:6" x14ac:dyDescent="0.35">
      <c r="A10" s="6" t="s">
        <v>7</v>
      </c>
      <c r="B10" s="7" t="e">
        <f>SUM(B5:B9)</f>
        <v>#REF!</v>
      </c>
      <c r="C10" s="7" t="e">
        <f>SUM(C5:C9)</f>
        <v>#REF!</v>
      </c>
      <c r="D10" s="7" t="e">
        <f>SUM(D5:D9)</f>
        <v>#REF!</v>
      </c>
      <c r="E10" s="7" t="e">
        <f>SUM(E5:E9)</f>
        <v>#REF!</v>
      </c>
      <c r="F10" s="7" t="e">
        <f>SUM(F5:F9)</f>
        <v>#REF!</v>
      </c>
    </row>
    <row r="13" spans="1:6" ht="31.5" customHeight="1" x14ac:dyDescent="0.35">
      <c r="A13" s="3" t="s">
        <v>13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</row>
    <row r="14" spans="1:6" x14ac:dyDescent="0.35">
      <c r="A14" s="4" t="s">
        <v>14</v>
      </c>
      <c r="B14" s="5">
        <f>COUNTIF('Indikator Supervisi Akademik'!$E$3:$E$27,$A14)</f>
        <v>9</v>
      </c>
      <c r="C14" s="5" t="e">
        <f>COUNTIF(#REF!,$A14)</f>
        <v>#REF!</v>
      </c>
      <c r="D14" s="5" t="e">
        <f>COUNTIF(#REF!,$A14)</f>
        <v>#REF!</v>
      </c>
      <c r="E14" s="5" t="e">
        <f>COUNTIF(#REF!,$A14)</f>
        <v>#REF!</v>
      </c>
      <c r="F14" s="5" t="e">
        <f t="shared" ref="F14:F24" si="0">SUM(B14:E14)</f>
        <v>#REF!</v>
      </c>
    </row>
    <row r="15" spans="1:6" x14ac:dyDescent="0.35">
      <c r="A15" s="4" t="s">
        <v>15</v>
      </c>
      <c r="B15" s="5">
        <f>COUNTIF('Indikator Supervisi Akademik'!$E$3:$E$27,$A15)</f>
        <v>0</v>
      </c>
      <c r="C15" s="5" t="e">
        <f>COUNTIF(#REF!,$A15)</f>
        <v>#REF!</v>
      </c>
      <c r="D15" s="5" t="e">
        <f>COUNTIF(#REF!,$A15)</f>
        <v>#REF!</v>
      </c>
      <c r="E15" s="5" t="e">
        <f>COUNTIF(#REF!,$A15)</f>
        <v>#REF!</v>
      </c>
      <c r="F15" s="5" t="e">
        <f t="shared" si="0"/>
        <v>#REF!</v>
      </c>
    </row>
    <row r="16" spans="1:6" x14ac:dyDescent="0.35">
      <c r="A16" s="4" t="s">
        <v>16</v>
      </c>
      <c r="B16" s="5">
        <f>COUNTIF('Indikator Supervisi Akademik'!$E$3:$E$27,$A16)</f>
        <v>0</v>
      </c>
      <c r="C16" s="5" t="e">
        <f>COUNTIF(#REF!,$A16)</f>
        <v>#REF!</v>
      </c>
      <c r="D16" s="5" t="e">
        <f>COUNTIF(#REF!,$A16)</f>
        <v>#REF!</v>
      </c>
      <c r="E16" s="5" t="e">
        <f>COUNTIF(#REF!,$A16)</f>
        <v>#REF!</v>
      </c>
      <c r="F16" s="5" t="e">
        <f t="shared" si="0"/>
        <v>#REF!</v>
      </c>
    </row>
    <row r="17" spans="1:6" x14ac:dyDescent="0.35">
      <c r="A17" s="4" t="s">
        <v>17</v>
      </c>
      <c r="B17" s="5">
        <f>COUNTIF('Indikator Supervisi Akademik'!$E$3:$E$27,$A17)</f>
        <v>0</v>
      </c>
      <c r="C17" s="5" t="e">
        <f>COUNTIF(#REF!,$A17)</f>
        <v>#REF!</v>
      </c>
      <c r="D17" s="5" t="e">
        <f>COUNTIF(#REF!,$A17)</f>
        <v>#REF!</v>
      </c>
      <c r="E17" s="5" t="e">
        <f>COUNTIF(#REF!,$A17)</f>
        <v>#REF!</v>
      </c>
      <c r="F17" s="5" t="e">
        <f t="shared" si="0"/>
        <v>#REF!</v>
      </c>
    </row>
    <row r="18" spans="1:6" x14ac:dyDescent="0.35">
      <c r="A18" s="4" t="s">
        <v>18</v>
      </c>
      <c r="B18" s="5">
        <f>COUNTIF('Indikator Supervisi Akademik'!$E$3:$E$27,$A18)</f>
        <v>0</v>
      </c>
      <c r="C18" s="5" t="e">
        <f>COUNTIF(#REF!,$A18)</f>
        <v>#REF!</v>
      </c>
      <c r="D18" s="5" t="e">
        <f>COUNTIF(#REF!,$A18)</f>
        <v>#REF!</v>
      </c>
      <c r="E18" s="5" t="e">
        <f>COUNTIF(#REF!,$A18)</f>
        <v>#REF!</v>
      </c>
      <c r="F18" s="5" t="e">
        <f t="shared" si="0"/>
        <v>#REF!</v>
      </c>
    </row>
    <row r="19" spans="1:6" x14ac:dyDescent="0.35">
      <c r="A19" s="4" t="s">
        <v>19</v>
      </c>
      <c r="B19" s="5">
        <f>COUNTIF('Indikator Supervisi Akademik'!$E$3:$E$27,$A19)</f>
        <v>0</v>
      </c>
      <c r="C19" s="5" t="e">
        <f>COUNTIF(#REF!,$A19)</f>
        <v>#REF!</v>
      </c>
      <c r="D19" s="5" t="e">
        <f>COUNTIF(#REF!,$A19)</f>
        <v>#REF!</v>
      </c>
      <c r="E19" s="5" t="e">
        <f>COUNTIF(#REF!,$A19)</f>
        <v>#REF!</v>
      </c>
      <c r="F19" s="5" t="e">
        <f t="shared" si="0"/>
        <v>#REF!</v>
      </c>
    </row>
    <row r="20" spans="1:6" x14ac:dyDescent="0.35">
      <c r="A20" s="4" t="s">
        <v>20</v>
      </c>
      <c r="B20" s="5">
        <f>COUNTIF('Indikator Supervisi Akademik'!$E$3:$E$27,$A20)</f>
        <v>0</v>
      </c>
      <c r="C20" s="5" t="e">
        <f>COUNTIF(#REF!,$A20)</f>
        <v>#REF!</v>
      </c>
      <c r="D20" s="5" t="e">
        <f>COUNTIF(#REF!,$A20)</f>
        <v>#REF!</v>
      </c>
      <c r="E20" s="5" t="e">
        <f>COUNTIF(#REF!,$A20)</f>
        <v>#REF!</v>
      </c>
      <c r="F20" s="5" t="e">
        <f t="shared" si="0"/>
        <v>#REF!</v>
      </c>
    </row>
    <row r="21" spans="1:6" x14ac:dyDescent="0.35">
      <c r="A21" s="4" t="s">
        <v>21</v>
      </c>
      <c r="B21" s="5">
        <f>COUNTIF('Indikator Supervisi Akademik'!$E$3:$E$27,$A21)</f>
        <v>0</v>
      </c>
      <c r="C21" s="5" t="e">
        <f>COUNTIF(#REF!,$A21)</f>
        <v>#REF!</v>
      </c>
      <c r="D21" s="5" t="e">
        <f>COUNTIF(#REF!,$A21)</f>
        <v>#REF!</v>
      </c>
      <c r="E21" s="5" t="e">
        <f>COUNTIF(#REF!,$A21)</f>
        <v>#REF!</v>
      </c>
      <c r="F21" s="5" t="e">
        <f t="shared" si="0"/>
        <v>#REF!</v>
      </c>
    </row>
    <row r="22" spans="1:6" x14ac:dyDescent="0.35">
      <c r="A22" s="4" t="s">
        <v>22</v>
      </c>
      <c r="B22" s="5">
        <f>COUNTIF('Indikator Supervisi Akademik'!$E$3:$E$27,$A22)</f>
        <v>16</v>
      </c>
      <c r="C22" s="5" t="e">
        <f>COUNTIF(#REF!,$A22)</f>
        <v>#REF!</v>
      </c>
      <c r="D22" s="5" t="e">
        <f>COUNTIF(#REF!,$A22)</f>
        <v>#REF!</v>
      </c>
      <c r="E22" s="5" t="e">
        <f>COUNTIF(#REF!,$A22)</f>
        <v>#REF!</v>
      </c>
      <c r="F22" s="5" t="e">
        <f t="shared" si="0"/>
        <v>#REF!</v>
      </c>
    </row>
    <row r="23" spans="1:6" x14ac:dyDescent="0.35">
      <c r="A23" s="4" t="s">
        <v>23</v>
      </c>
      <c r="B23" s="5">
        <f>COUNTIF('Indikator Supervisi Akademik'!$E$3:$E$27,$A23)</f>
        <v>0</v>
      </c>
      <c r="C23" s="5" t="e">
        <f>COUNTIF(#REF!,$A23)</f>
        <v>#REF!</v>
      </c>
      <c r="D23" s="5" t="e">
        <f>COUNTIF(#REF!,$A23)</f>
        <v>#REF!</v>
      </c>
      <c r="E23" s="5" t="e">
        <f>COUNTIF(#REF!,$A23)</f>
        <v>#REF!</v>
      </c>
      <c r="F23" s="5" t="e">
        <f t="shared" si="0"/>
        <v>#REF!</v>
      </c>
    </row>
    <row r="24" spans="1:6" x14ac:dyDescent="0.35">
      <c r="A24" s="4" t="s">
        <v>24</v>
      </c>
      <c r="B24" s="5">
        <f>COUNTIF('Indikator Supervisi Akademik'!$E$3:$E$27,$A24)</f>
        <v>0</v>
      </c>
      <c r="C24" s="5" t="e">
        <f>COUNTIF(#REF!,$A24)</f>
        <v>#REF!</v>
      </c>
      <c r="D24" s="5" t="e">
        <f>COUNTIF(#REF!,$A24)</f>
        <v>#REF!</v>
      </c>
      <c r="E24" s="5" t="e">
        <f>COUNTIF(#REF!,$A24)</f>
        <v>#REF!</v>
      </c>
      <c r="F24" s="5" t="e">
        <f t="shared" si="0"/>
        <v>#REF!</v>
      </c>
    </row>
    <row r="25" spans="1:6" x14ac:dyDescent="0.35">
      <c r="A25" s="6" t="s">
        <v>7</v>
      </c>
      <c r="B25" s="7">
        <f>SUM(B14:B24)</f>
        <v>25</v>
      </c>
      <c r="C25" s="7" t="e">
        <f>SUM(C14:C24)</f>
        <v>#REF!</v>
      </c>
      <c r="D25" s="7" t="e">
        <f>SUM(D14:D24)</f>
        <v>#REF!</v>
      </c>
      <c r="E25" s="7" t="e">
        <f>SUM(E14:E24)</f>
        <v>#REF!</v>
      </c>
      <c r="F25" s="7" t="e">
        <f>SUM(F14:F24)</f>
        <v>#REF!</v>
      </c>
    </row>
    <row r="26" spans="1:6" x14ac:dyDescent="0.35">
      <c r="A26" s="4" t="s">
        <v>25</v>
      </c>
      <c r="B26" s="5" t="e">
        <f>B25-B10</f>
        <v>#REF!</v>
      </c>
      <c r="C26" s="5" t="e">
        <f>C25-C10</f>
        <v>#REF!</v>
      </c>
      <c r="D26" s="5" t="e">
        <f>D25-D10</f>
        <v>#REF!</v>
      </c>
      <c r="E26" s="5" t="e">
        <f>E25-E10</f>
        <v>#REF!</v>
      </c>
      <c r="F26" s="5" t="e">
        <f>F25-F10</f>
        <v>#REF!</v>
      </c>
    </row>
    <row r="28" spans="1:6" x14ac:dyDescent="0.35">
      <c r="A28" s="8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58"/>
  <sheetViews>
    <sheetView tabSelected="1" view="pageBreakPreview" zoomScale="60" zoomScaleNormal="100" workbookViewId="0">
      <pane ySplit="2" topLeftCell="A123" activePane="bottomLeft" state="frozen"/>
      <selection pane="bottomLeft" activeCell="D8" sqref="D8"/>
    </sheetView>
  </sheetViews>
  <sheetFormatPr defaultColWidth="8.6328125" defaultRowHeight="14.5" x14ac:dyDescent="0.35"/>
  <cols>
    <col min="1" max="1" width="10.26953125" customWidth="1"/>
    <col min="2" max="2" width="5.26953125" customWidth="1"/>
    <col min="3" max="3" width="9.90625" customWidth="1"/>
    <col min="4" max="4" width="80" customWidth="1"/>
    <col min="5" max="5" width="19.08984375" customWidth="1"/>
    <col min="6" max="6" width="32.7265625" customWidth="1"/>
  </cols>
  <sheetData>
    <row r="2" spans="1:6" ht="31.5" customHeight="1" x14ac:dyDescent="0.35">
      <c r="A2" s="3" t="s">
        <v>265</v>
      </c>
      <c r="B2" s="3" t="s">
        <v>27</v>
      </c>
      <c r="C2" s="19" t="s">
        <v>270</v>
      </c>
      <c r="D2" s="3" t="s">
        <v>28</v>
      </c>
      <c r="E2" s="3" t="s">
        <v>13</v>
      </c>
      <c r="F2" s="16" t="s">
        <v>29</v>
      </c>
    </row>
    <row r="3" spans="1:6" ht="25" x14ac:dyDescent="0.35">
      <c r="A3" t="s">
        <v>266</v>
      </c>
      <c r="B3" s="20" t="str">
        <f t="shared" ref="B3:B34" si="0">TEXT(IF(A3=A2,B2+1,1),"00")</f>
        <v>01</v>
      </c>
      <c r="C3" s="9" t="str">
        <f t="shared" ref="C3:C66" si="1">UPPER(LEFT(E3,3)&amp;LEFT(A3,1)&amp;B3)</f>
        <v>DIF101</v>
      </c>
      <c r="D3" s="10" t="s">
        <v>145</v>
      </c>
      <c r="E3" s="13" t="s">
        <v>22</v>
      </c>
      <c r="F3" s="17" t="s">
        <v>81</v>
      </c>
    </row>
    <row r="4" spans="1:6" ht="25" x14ac:dyDescent="0.35">
      <c r="A4" t="s">
        <v>266</v>
      </c>
      <c r="B4" s="20" t="str">
        <f t="shared" si="0"/>
        <v>02</v>
      </c>
      <c r="C4" s="9" t="str">
        <f t="shared" si="1"/>
        <v>DIF102</v>
      </c>
      <c r="D4" s="10" t="s">
        <v>146</v>
      </c>
      <c r="E4" s="13" t="s">
        <v>22</v>
      </c>
      <c r="F4" s="17" t="s">
        <v>147</v>
      </c>
    </row>
    <row r="5" spans="1:6" ht="25" x14ac:dyDescent="0.35">
      <c r="A5" t="s">
        <v>266</v>
      </c>
      <c r="B5" s="20" t="str">
        <f t="shared" si="0"/>
        <v>03</v>
      </c>
      <c r="C5" s="9" t="str">
        <f t="shared" si="1"/>
        <v>DIF103</v>
      </c>
      <c r="D5" s="10" t="s">
        <v>148</v>
      </c>
      <c r="E5" s="13" t="s">
        <v>22</v>
      </c>
      <c r="F5" s="17" t="s">
        <v>149</v>
      </c>
    </row>
    <row r="6" spans="1:6" ht="25" x14ac:dyDescent="0.35">
      <c r="A6" t="s">
        <v>266</v>
      </c>
      <c r="B6" s="20" t="str">
        <f t="shared" si="0"/>
        <v>04</v>
      </c>
      <c r="C6" s="9" t="str">
        <f t="shared" si="1"/>
        <v>DIF104</v>
      </c>
      <c r="D6" s="10" t="s">
        <v>150</v>
      </c>
      <c r="E6" s="13" t="s">
        <v>22</v>
      </c>
      <c r="F6" s="17" t="s">
        <v>151</v>
      </c>
    </row>
    <row r="7" spans="1:6" ht="25" x14ac:dyDescent="0.35">
      <c r="A7" t="s">
        <v>266</v>
      </c>
      <c r="B7" s="20" t="str">
        <f t="shared" si="0"/>
        <v>05</v>
      </c>
      <c r="C7" s="9" t="str">
        <f t="shared" si="1"/>
        <v>DIF105</v>
      </c>
      <c r="D7" s="10" t="s">
        <v>152</v>
      </c>
      <c r="E7" s="13" t="s">
        <v>22</v>
      </c>
      <c r="F7" s="17" t="s">
        <v>153</v>
      </c>
    </row>
    <row r="8" spans="1:6" ht="25" x14ac:dyDescent="0.35">
      <c r="A8" t="s">
        <v>269</v>
      </c>
      <c r="B8" s="20" t="str">
        <f t="shared" si="0"/>
        <v>01</v>
      </c>
      <c r="C8" s="9" t="str">
        <f t="shared" si="1"/>
        <v>DIF201</v>
      </c>
      <c r="D8" s="10" t="s">
        <v>62</v>
      </c>
      <c r="E8" s="13" t="s">
        <v>22</v>
      </c>
      <c r="F8" s="17" t="s">
        <v>63</v>
      </c>
    </row>
    <row r="9" spans="1:6" ht="25" x14ac:dyDescent="0.35">
      <c r="A9" t="s">
        <v>269</v>
      </c>
      <c r="B9" s="20" t="str">
        <f t="shared" si="0"/>
        <v>02</v>
      </c>
      <c r="C9" s="9" t="str">
        <f t="shared" si="1"/>
        <v>DIF202</v>
      </c>
      <c r="D9" s="10" t="s">
        <v>64</v>
      </c>
      <c r="E9" s="13" t="s">
        <v>22</v>
      </c>
      <c r="F9" s="17" t="s">
        <v>65</v>
      </c>
    </row>
    <row r="10" spans="1:6" ht="25" x14ac:dyDescent="0.35">
      <c r="A10" t="s">
        <v>269</v>
      </c>
      <c r="B10" s="20" t="str">
        <f t="shared" si="0"/>
        <v>03</v>
      </c>
      <c r="C10" s="9" t="str">
        <f t="shared" si="1"/>
        <v>DIF203</v>
      </c>
      <c r="D10" s="10" t="s">
        <v>66</v>
      </c>
      <c r="E10" s="13" t="s">
        <v>22</v>
      </c>
      <c r="F10" s="17" t="s">
        <v>67</v>
      </c>
    </row>
    <row r="11" spans="1:6" ht="25" x14ac:dyDescent="0.35">
      <c r="A11" t="s">
        <v>267</v>
      </c>
      <c r="B11" s="20" t="str">
        <f t="shared" si="0"/>
        <v>01</v>
      </c>
      <c r="C11" s="9" t="str">
        <f t="shared" si="1"/>
        <v>DIF301</v>
      </c>
      <c r="D11" s="10" t="s">
        <v>203</v>
      </c>
      <c r="E11" s="13" t="s">
        <v>22</v>
      </c>
      <c r="F11" s="17" t="s">
        <v>175</v>
      </c>
    </row>
    <row r="12" spans="1:6" ht="25" x14ac:dyDescent="0.35">
      <c r="A12" t="s">
        <v>267</v>
      </c>
      <c r="B12" s="20" t="str">
        <f t="shared" si="0"/>
        <v>02</v>
      </c>
      <c r="C12" s="9" t="str">
        <f t="shared" si="1"/>
        <v>DIF302</v>
      </c>
      <c r="D12" s="10" t="s">
        <v>204</v>
      </c>
      <c r="E12" s="13" t="s">
        <v>22</v>
      </c>
      <c r="F12" s="17" t="s">
        <v>182</v>
      </c>
    </row>
    <row r="13" spans="1:6" ht="25" x14ac:dyDescent="0.35">
      <c r="A13" t="s">
        <v>267</v>
      </c>
      <c r="B13" s="20" t="str">
        <f t="shared" si="0"/>
        <v>03</v>
      </c>
      <c r="C13" s="9" t="str">
        <f t="shared" si="1"/>
        <v>DIF303</v>
      </c>
      <c r="D13" s="10" t="s">
        <v>205</v>
      </c>
      <c r="E13" s="13" t="s">
        <v>22</v>
      </c>
      <c r="F13" s="17" t="s">
        <v>182</v>
      </c>
    </row>
    <row r="14" spans="1:6" ht="37.5" x14ac:dyDescent="0.35">
      <c r="A14" t="s">
        <v>267</v>
      </c>
      <c r="B14" s="20" t="str">
        <f t="shared" si="0"/>
        <v>04</v>
      </c>
      <c r="C14" s="9" t="str">
        <f t="shared" si="1"/>
        <v>DIF304</v>
      </c>
      <c r="D14" s="10" t="s">
        <v>206</v>
      </c>
      <c r="E14" s="13" t="s">
        <v>22</v>
      </c>
      <c r="F14" s="17" t="s">
        <v>182</v>
      </c>
    </row>
    <row r="15" spans="1:6" ht="25" x14ac:dyDescent="0.35">
      <c r="A15" t="s">
        <v>267</v>
      </c>
      <c r="B15" s="20" t="str">
        <f t="shared" si="0"/>
        <v>05</v>
      </c>
      <c r="C15" s="9" t="str">
        <f t="shared" si="1"/>
        <v>DIF305</v>
      </c>
      <c r="D15" s="10" t="s">
        <v>207</v>
      </c>
      <c r="E15" s="13" t="s">
        <v>22</v>
      </c>
      <c r="F15" s="17" t="s">
        <v>194</v>
      </c>
    </row>
    <row r="16" spans="1:6" ht="25" x14ac:dyDescent="0.35">
      <c r="A16" t="s">
        <v>268</v>
      </c>
      <c r="B16" s="20" t="str">
        <f t="shared" si="0"/>
        <v>01</v>
      </c>
      <c r="C16" s="9" t="str">
        <f t="shared" si="1"/>
        <v>DIF401</v>
      </c>
      <c r="D16" s="10" t="s">
        <v>247</v>
      </c>
      <c r="E16" s="13" t="s">
        <v>22</v>
      </c>
      <c r="F16" s="17" t="s">
        <v>248</v>
      </c>
    </row>
    <row r="17" spans="1:6" ht="25" x14ac:dyDescent="0.35">
      <c r="A17" t="s">
        <v>268</v>
      </c>
      <c r="B17" s="20" t="str">
        <f t="shared" si="0"/>
        <v>02</v>
      </c>
      <c r="C17" s="9" t="str">
        <f t="shared" si="1"/>
        <v>DIF402</v>
      </c>
      <c r="D17" s="10" t="s">
        <v>249</v>
      </c>
      <c r="E17" s="13" t="s">
        <v>22</v>
      </c>
      <c r="F17" s="17" t="s">
        <v>250</v>
      </c>
    </row>
    <row r="18" spans="1:6" ht="25" x14ac:dyDescent="0.35">
      <c r="A18" t="s">
        <v>268</v>
      </c>
      <c r="B18" s="20" t="str">
        <f t="shared" si="0"/>
        <v>03</v>
      </c>
      <c r="C18" s="9" t="str">
        <f t="shared" si="1"/>
        <v>DIF403</v>
      </c>
      <c r="D18" s="10" t="s">
        <v>251</v>
      </c>
      <c r="E18" s="13" t="s">
        <v>22</v>
      </c>
      <c r="F18" s="17" t="s">
        <v>252</v>
      </c>
    </row>
    <row r="19" spans="1:6" ht="25" x14ac:dyDescent="0.35">
      <c r="A19" t="s">
        <v>266</v>
      </c>
      <c r="B19" s="20" t="str">
        <f t="shared" si="0"/>
        <v>01</v>
      </c>
      <c r="C19" s="9" t="str">
        <f t="shared" si="1"/>
        <v>ELE101</v>
      </c>
      <c r="D19" s="10" t="s">
        <v>80</v>
      </c>
      <c r="E19" s="10" t="s">
        <v>14</v>
      </c>
      <c r="F19" s="17" t="s">
        <v>81</v>
      </c>
    </row>
    <row r="20" spans="1:6" x14ac:dyDescent="0.35">
      <c r="A20" t="s">
        <v>266</v>
      </c>
      <c r="B20" s="20" t="str">
        <f t="shared" si="0"/>
        <v>02</v>
      </c>
      <c r="C20" s="9" t="str">
        <f t="shared" si="1"/>
        <v>ELE102</v>
      </c>
      <c r="D20" s="10" t="s">
        <v>82</v>
      </c>
      <c r="E20" s="10" t="s">
        <v>14</v>
      </c>
      <c r="F20" s="17" t="s">
        <v>81</v>
      </c>
    </row>
    <row r="21" spans="1:6" x14ac:dyDescent="0.35">
      <c r="A21" t="s">
        <v>266</v>
      </c>
      <c r="B21" s="20" t="str">
        <f t="shared" si="0"/>
        <v>03</v>
      </c>
      <c r="C21" s="9" t="str">
        <f t="shared" si="1"/>
        <v>ELE103</v>
      </c>
      <c r="D21" s="10" t="s">
        <v>90</v>
      </c>
      <c r="E21" s="10" t="s">
        <v>14</v>
      </c>
      <c r="F21" s="17" t="s">
        <v>88</v>
      </c>
    </row>
    <row r="22" spans="1:6" x14ac:dyDescent="0.35">
      <c r="A22" t="s">
        <v>266</v>
      </c>
      <c r="B22" s="20" t="str">
        <f t="shared" si="0"/>
        <v>04</v>
      </c>
      <c r="C22" s="9" t="str">
        <f t="shared" si="1"/>
        <v>ELE104</v>
      </c>
      <c r="D22" s="10" t="s">
        <v>91</v>
      </c>
      <c r="E22" s="10" t="s">
        <v>14</v>
      </c>
      <c r="F22" s="17" t="s">
        <v>88</v>
      </c>
    </row>
    <row r="23" spans="1:6" x14ac:dyDescent="0.35">
      <c r="A23" t="s">
        <v>266</v>
      </c>
      <c r="B23" s="20" t="str">
        <f t="shared" si="0"/>
        <v>05</v>
      </c>
      <c r="C23" s="9" t="str">
        <f t="shared" si="1"/>
        <v>ELE105</v>
      </c>
      <c r="D23" s="10" t="s">
        <v>116</v>
      </c>
      <c r="E23" s="10" t="s">
        <v>14</v>
      </c>
      <c r="F23" s="17" t="s">
        <v>117</v>
      </c>
    </row>
    <row r="24" spans="1:6" x14ac:dyDescent="0.35">
      <c r="A24" t="s">
        <v>266</v>
      </c>
      <c r="B24" s="20" t="str">
        <f t="shared" si="0"/>
        <v>06</v>
      </c>
      <c r="C24" s="9" t="str">
        <f t="shared" si="1"/>
        <v>ELE106</v>
      </c>
      <c r="D24" s="10" t="s">
        <v>128</v>
      </c>
      <c r="E24" s="10" t="s">
        <v>14</v>
      </c>
      <c r="F24" s="17" t="s">
        <v>121</v>
      </c>
    </row>
    <row r="25" spans="1:6" x14ac:dyDescent="0.35">
      <c r="A25" t="s">
        <v>266</v>
      </c>
      <c r="B25" s="20" t="str">
        <f t="shared" si="0"/>
        <v>07</v>
      </c>
      <c r="C25" s="9" t="str">
        <f t="shared" si="1"/>
        <v>ELE107</v>
      </c>
      <c r="D25" s="10" t="s">
        <v>129</v>
      </c>
      <c r="E25" s="10" t="s">
        <v>14</v>
      </c>
      <c r="F25" s="17" t="s">
        <v>130</v>
      </c>
    </row>
    <row r="26" spans="1:6" x14ac:dyDescent="0.35">
      <c r="A26" t="s">
        <v>266</v>
      </c>
      <c r="B26" s="20" t="str">
        <f t="shared" si="0"/>
        <v>08</v>
      </c>
      <c r="C26" s="9" t="str">
        <f t="shared" si="1"/>
        <v>ELE108</v>
      </c>
      <c r="D26" s="10" t="s">
        <v>131</v>
      </c>
      <c r="E26" s="10" t="s">
        <v>14</v>
      </c>
      <c r="F26" s="17" t="s">
        <v>130</v>
      </c>
    </row>
    <row r="27" spans="1:6" x14ac:dyDescent="0.35">
      <c r="A27" t="s">
        <v>266</v>
      </c>
      <c r="B27" s="20" t="str">
        <f t="shared" si="0"/>
        <v>09</v>
      </c>
      <c r="C27" s="9" t="str">
        <f t="shared" si="1"/>
        <v>ELE109</v>
      </c>
      <c r="D27" s="10" t="s">
        <v>132</v>
      </c>
      <c r="E27" s="10" t="s">
        <v>14</v>
      </c>
      <c r="F27" s="17" t="s">
        <v>130</v>
      </c>
    </row>
    <row r="28" spans="1:6" x14ac:dyDescent="0.35">
      <c r="A28" t="s">
        <v>266</v>
      </c>
      <c r="B28" s="20" t="str">
        <f t="shared" si="0"/>
        <v>10</v>
      </c>
      <c r="C28" s="9" t="str">
        <f t="shared" si="1"/>
        <v>ELE110</v>
      </c>
      <c r="D28" s="10" t="s">
        <v>136</v>
      </c>
      <c r="E28" s="10" t="s">
        <v>14</v>
      </c>
      <c r="F28" s="17" t="s">
        <v>130</v>
      </c>
    </row>
    <row r="29" spans="1:6" x14ac:dyDescent="0.35">
      <c r="A29" t="s">
        <v>269</v>
      </c>
      <c r="B29" s="20" t="str">
        <f t="shared" si="0"/>
        <v>01</v>
      </c>
      <c r="C29" s="9" t="str">
        <f t="shared" si="1"/>
        <v>ELE201</v>
      </c>
      <c r="D29" s="10" t="s">
        <v>30</v>
      </c>
      <c r="E29" s="10" t="s">
        <v>14</v>
      </c>
      <c r="F29" s="17" t="s">
        <v>31</v>
      </c>
    </row>
    <row r="30" spans="1:6" x14ac:dyDescent="0.35">
      <c r="A30" t="s">
        <v>269</v>
      </c>
      <c r="B30" s="20" t="str">
        <f t="shared" si="0"/>
        <v>02</v>
      </c>
      <c r="C30" s="9" t="str">
        <f t="shared" si="1"/>
        <v>ELE202</v>
      </c>
      <c r="D30" s="10" t="s">
        <v>32</v>
      </c>
      <c r="E30" s="10" t="s">
        <v>14</v>
      </c>
      <c r="F30" s="17" t="s">
        <v>33</v>
      </c>
    </row>
    <row r="31" spans="1:6" ht="25" x14ac:dyDescent="0.35">
      <c r="A31" t="s">
        <v>269</v>
      </c>
      <c r="B31" s="20" t="str">
        <f t="shared" si="0"/>
        <v>03</v>
      </c>
      <c r="C31" s="9" t="str">
        <f t="shared" si="1"/>
        <v>ELE203</v>
      </c>
      <c r="D31" s="10" t="s">
        <v>34</v>
      </c>
      <c r="E31" s="10" t="s">
        <v>14</v>
      </c>
      <c r="F31" s="17" t="s">
        <v>35</v>
      </c>
    </row>
    <row r="32" spans="1:6" x14ac:dyDescent="0.35">
      <c r="A32" t="s">
        <v>269</v>
      </c>
      <c r="B32" s="20" t="str">
        <f t="shared" si="0"/>
        <v>04</v>
      </c>
      <c r="C32" s="9" t="str">
        <f t="shared" si="1"/>
        <v>ELE204</v>
      </c>
      <c r="D32" s="10" t="s">
        <v>40</v>
      </c>
      <c r="E32" s="10" t="s">
        <v>14</v>
      </c>
      <c r="F32" s="17" t="s">
        <v>41</v>
      </c>
    </row>
    <row r="33" spans="1:6" x14ac:dyDescent="0.35">
      <c r="A33" t="s">
        <v>269</v>
      </c>
      <c r="B33" s="20" t="str">
        <f t="shared" si="0"/>
        <v>05</v>
      </c>
      <c r="C33" s="9" t="str">
        <f t="shared" si="1"/>
        <v>ELE205</v>
      </c>
      <c r="D33" s="10" t="s">
        <v>42</v>
      </c>
      <c r="E33" s="10" t="s">
        <v>14</v>
      </c>
      <c r="F33" s="17" t="s">
        <v>43</v>
      </c>
    </row>
    <row r="34" spans="1:6" x14ac:dyDescent="0.35">
      <c r="A34" t="s">
        <v>269</v>
      </c>
      <c r="B34" s="20" t="str">
        <f t="shared" si="0"/>
        <v>06</v>
      </c>
      <c r="C34" s="9" t="str">
        <f t="shared" si="1"/>
        <v>ELE206</v>
      </c>
      <c r="D34" s="10" t="s">
        <v>50</v>
      </c>
      <c r="E34" s="10" t="s">
        <v>14</v>
      </c>
      <c r="F34" s="17" t="s">
        <v>51</v>
      </c>
    </row>
    <row r="35" spans="1:6" ht="25" x14ac:dyDescent="0.35">
      <c r="A35" t="s">
        <v>269</v>
      </c>
      <c r="B35" s="20" t="str">
        <f t="shared" ref="B35:B66" si="2">TEXT(IF(A35=A34,B34+1,1),"00")</f>
        <v>07</v>
      </c>
      <c r="C35" s="9" t="str">
        <f t="shared" si="1"/>
        <v>ELE207</v>
      </c>
      <c r="D35" s="10" t="s">
        <v>38</v>
      </c>
      <c r="E35" s="18" t="s">
        <v>14</v>
      </c>
      <c r="F35" s="17" t="s">
        <v>39</v>
      </c>
    </row>
    <row r="36" spans="1:6" ht="25" x14ac:dyDescent="0.35">
      <c r="A36" t="s">
        <v>269</v>
      </c>
      <c r="B36" s="20" t="str">
        <f t="shared" si="2"/>
        <v>08</v>
      </c>
      <c r="C36" s="9" t="str">
        <f t="shared" si="1"/>
        <v>ELE208</v>
      </c>
      <c r="D36" s="10" t="s">
        <v>48</v>
      </c>
      <c r="E36" s="18" t="s">
        <v>14</v>
      </c>
      <c r="F36" s="17" t="s">
        <v>49</v>
      </c>
    </row>
    <row r="37" spans="1:6" ht="25" x14ac:dyDescent="0.35">
      <c r="A37" t="s">
        <v>267</v>
      </c>
      <c r="B37" s="20" t="str">
        <f t="shared" si="2"/>
        <v>01</v>
      </c>
      <c r="C37" s="9" t="str">
        <f t="shared" si="1"/>
        <v>ELE301</v>
      </c>
      <c r="D37" s="10" t="s">
        <v>174</v>
      </c>
      <c r="E37" s="10" t="s">
        <v>14</v>
      </c>
      <c r="F37" s="17" t="s">
        <v>175</v>
      </c>
    </row>
    <row r="38" spans="1:6" x14ac:dyDescent="0.35">
      <c r="A38" t="s">
        <v>267</v>
      </c>
      <c r="B38" s="20" t="str">
        <f t="shared" si="2"/>
        <v>02</v>
      </c>
      <c r="C38" s="9" t="str">
        <f t="shared" si="1"/>
        <v>ELE302</v>
      </c>
      <c r="D38" s="10" t="s">
        <v>180</v>
      </c>
      <c r="E38" s="10" t="s">
        <v>14</v>
      </c>
      <c r="F38" s="17" t="s">
        <v>175</v>
      </c>
    </row>
    <row r="39" spans="1:6" ht="25" x14ac:dyDescent="0.35">
      <c r="A39" t="s">
        <v>267</v>
      </c>
      <c r="B39" s="20" t="str">
        <f t="shared" si="2"/>
        <v>03</v>
      </c>
      <c r="C39" s="9" t="str">
        <f t="shared" si="1"/>
        <v>ELE303</v>
      </c>
      <c r="D39" s="10" t="s">
        <v>196</v>
      </c>
      <c r="E39" s="10" t="s">
        <v>14</v>
      </c>
      <c r="F39" s="17" t="s">
        <v>194</v>
      </c>
    </row>
    <row r="40" spans="1:6" x14ac:dyDescent="0.35">
      <c r="A40" t="s">
        <v>268</v>
      </c>
      <c r="B40" s="20" t="str">
        <f t="shared" si="2"/>
        <v>01</v>
      </c>
      <c r="C40" s="9" t="str">
        <f t="shared" si="1"/>
        <v>ELE401</v>
      </c>
      <c r="D40" s="10" t="s">
        <v>218</v>
      </c>
      <c r="E40" s="10" t="s">
        <v>14</v>
      </c>
      <c r="F40" s="17" t="s">
        <v>31</v>
      </c>
    </row>
    <row r="41" spans="1:6" x14ac:dyDescent="0.35">
      <c r="A41" t="s">
        <v>268</v>
      </c>
      <c r="B41" s="20" t="str">
        <f t="shared" si="2"/>
        <v>02</v>
      </c>
      <c r="C41" s="9" t="str">
        <f t="shared" si="1"/>
        <v>ELE402</v>
      </c>
      <c r="D41" s="10" t="s">
        <v>219</v>
      </c>
      <c r="E41" s="10" t="s">
        <v>14</v>
      </c>
      <c r="F41" s="17" t="s">
        <v>220</v>
      </c>
    </row>
    <row r="42" spans="1:6" x14ac:dyDescent="0.35">
      <c r="A42" t="s">
        <v>268</v>
      </c>
      <c r="B42" s="20" t="str">
        <f t="shared" si="2"/>
        <v>03</v>
      </c>
      <c r="C42" s="9" t="str">
        <f t="shared" si="1"/>
        <v>ELE403</v>
      </c>
      <c r="D42" s="10" t="s">
        <v>221</v>
      </c>
      <c r="E42" s="10" t="s">
        <v>14</v>
      </c>
      <c r="F42" s="17" t="s">
        <v>222</v>
      </c>
    </row>
    <row r="43" spans="1:6" x14ac:dyDescent="0.35">
      <c r="A43" t="s">
        <v>268</v>
      </c>
      <c r="B43" s="20" t="str">
        <f t="shared" si="2"/>
        <v>04</v>
      </c>
      <c r="C43" s="9" t="str">
        <f t="shared" si="1"/>
        <v>ELE404</v>
      </c>
      <c r="D43" s="10" t="s">
        <v>231</v>
      </c>
      <c r="E43" s="10" t="s">
        <v>14</v>
      </c>
      <c r="F43" s="17" t="s">
        <v>232</v>
      </c>
    </row>
    <row r="44" spans="1:6" ht="25" x14ac:dyDescent="0.35">
      <c r="A44" t="s">
        <v>268</v>
      </c>
      <c r="B44" s="20" t="str">
        <f t="shared" si="2"/>
        <v>05</v>
      </c>
      <c r="C44" s="9" t="str">
        <f t="shared" si="1"/>
        <v>ELE405</v>
      </c>
      <c r="D44" s="10" t="s">
        <v>223</v>
      </c>
      <c r="E44" s="18" t="s">
        <v>14</v>
      </c>
      <c r="F44" s="17" t="s">
        <v>224</v>
      </c>
    </row>
    <row r="45" spans="1:6" ht="25" x14ac:dyDescent="0.35">
      <c r="A45" t="s">
        <v>268</v>
      </c>
      <c r="B45" s="20" t="str">
        <f t="shared" si="2"/>
        <v>06</v>
      </c>
      <c r="C45" s="9" t="str">
        <f t="shared" si="1"/>
        <v>ELE406</v>
      </c>
      <c r="D45" s="10" t="s">
        <v>239</v>
      </c>
      <c r="E45" s="18" t="s">
        <v>14</v>
      </c>
      <c r="F45" s="17" t="s">
        <v>240</v>
      </c>
    </row>
    <row r="46" spans="1:6" ht="25" x14ac:dyDescent="0.35">
      <c r="A46" t="s">
        <v>266</v>
      </c>
      <c r="B46" s="20" t="str">
        <f t="shared" si="2"/>
        <v>01</v>
      </c>
      <c r="C46" s="9" t="str">
        <f t="shared" si="1"/>
        <v>ENG101</v>
      </c>
      <c r="D46" s="10" t="s">
        <v>154</v>
      </c>
      <c r="E46" s="14" t="s">
        <v>23</v>
      </c>
      <c r="F46" s="17" t="s">
        <v>155</v>
      </c>
    </row>
    <row r="47" spans="1:6" ht="25" x14ac:dyDescent="0.35">
      <c r="A47" t="s">
        <v>266</v>
      </c>
      <c r="B47" s="20" t="str">
        <f t="shared" si="2"/>
        <v>02</v>
      </c>
      <c r="C47" s="9" t="str">
        <f t="shared" si="1"/>
        <v>ENG102</v>
      </c>
      <c r="D47" s="10" t="s">
        <v>156</v>
      </c>
      <c r="E47" s="14" t="s">
        <v>23</v>
      </c>
      <c r="F47" s="17" t="s">
        <v>157</v>
      </c>
    </row>
    <row r="48" spans="1:6" ht="25" x14ac:dyDescent="0.35">
      <c r="A48" t="s">
        <v>266</v>
      </c>
      <c r="B48" s="20" t="str">
        <f t="shared" si="2"/>
        <v>03</v>
      </c>
      <c r="C48" s="9" t="str">
        <f t="shared" si="1"/>
        <v>ENG103</v>
      </c>
      <c r="D48" s="10" t="s">
        <v>158</v>
      </c>
      <c r="E48" s="14" t="s">
        <v>23</v>
      </c>
      <c r="F48" s="17" t="s">
        <v>159</v>
      </c>
    </row>
    <row r="49" spans="1:6" ht="25" x14ac:dyDescent="0.35">
      <c r="A49" t="s">
        <v>266</v>
      </c>
      <c r="B49" s="20" t="str">
        <f t="shared" si="2"/>
        <v>04</v>
      </c>
      <c r="C49" s="9" t="str">
        <f t="shared" si="1"/>
        <v>ENG104</v>
      </c>
      <c r="D49" s="10" t="s">
        <v>160</v>
      </c>
      <c r="E49" s="14" t="s">
        <v>23</v>
      </c>
      <c r="F49" s="17" t="s">
        <v>161</v>
      </c>
    </row>
    <row r="50" spans="1:6" ht="25" x14ac:dyDescent="0.35">
      <c r="A50" t="s">
        <v>266</v>
      </c>
      <c r="B50" s="20" t="str">
        <f t="shared" si="2"/>
        <v>05</v>
      </c>
      <c r="C50" s="9" t="str">
        <f t="shared" si="1"/>
        <v>ENG105</v>
      </c>
      <c r="D50" s="10" t="s">
        <v>162</v>
      </c>
      <c r="E50" s="14" t="s">
        <v>23</v>
      </c>
      <c r="F50" s="17" t="s">
        <v>163</v>
      </c>
    </row>
    <row r="51" spans="1:6" ht="37.5" x14ac:dyDescent="0.35">
      <c r="A51" t="s">
        <v>269</v>
      </c>
      <c r="B51" s="20" t="str">
        <f t="shared" si="2"/>
        <v>01</v>
      </c>
      <c r="C51" s="9" t="str">
        <f t="shared" si="1"/>
        <v>ENG201</v>
      </c>
      <c r="D51" s="10" t="s">
        <v>68</v>
      </c>
      <c r="E51" s="14" t="s">
        <v>23</v>
      </c>
      <c r="F51" s="17" t="s">
        <v>69</v>
      </c>
    </row>
    <row r="52" spans="1:6" ht="25" x14ac:dyDescent="0.35">
      <c r="A52" t="s">
        <v>269</v>
      </c>
      <c r="B52" s="20" t="str">
        <f t="shared" si="2"/>
        <v>02</v>
      </c>
      <c r="C52" s="9" t="str">
        <f t="shared" si="1"/>
        <v>ENG202</v>
      </c>
      <c r="D52" s="10" t="s">
        <v>70</v>
      </c>
      <c r="E52" s="14" t="s">
        <v>23</v>
      </c>
      <c r="F52" s="17" t="s">
        <v>71</v>
      </c>
    </row>
    <row r="53" spans="1:6" ht="25" x14ac:dyDescent="0.35">
      <c r="A53" t="s">
        <v>269</v>
      </c>
      <c r="B53" s="20" t="str">
        <f t="shared" si="2"/>
        <v>03</v>
      </c>
      <c r="C53" s="9" t="str">
        <f t="shared" si="1"/>
        <v>ENG203</v>
      </c>
      <c r="D53" s="10" t="s">
        <v>72</v>
      </c>
      <c r="E53" s="14" t="s">
        <v>23</v>
      </c>
      <c r="F53" s="17" t="s">
        <v>73</v>
      </c>
    </row>
    <row r="54" spans="1:6" ht="25" x14ac:dyDescent="0.35">
      <c r="A54" t="s">
        <v>267</v>
      </c>
      <c r="B54" s="20" t="str">
        <f t="shared" si="2"/>
        <v>01</v>
      </c>
      <c r="C54" s="9" t="str">
        <f t="shared" si="1"/>
        <v>ENG301</v>
      </c>
      <c r="D54" s="10" t="s">
        <v>208</v>
      </c>
      <c r="E54" s="14" t="s">
        <v>23</v>
      </c>
      <c r="F54" s="17" t="s">
        <v>175</v>
      </c>
    </row>
    <row r="55" spans="1:6" ht="37.5" x14ac:dyDescent="0.35">
      <c r="A55" t="s">
        <v>267</v>
      </c>
      <c r="B55" s="20" t="str">
        <f t="shared" si="2"/>
        <v>02</v>
      </c>
      <c r="C55" s="9" t="str">
        <f t="shared" si="1"/>
        <v>ENG302</v>
      </c>
      <c r="D55" s="10" t="s">
        <v>209</v>
      </c>
      <c r="E55" s="14" t="s">
        <v>23</v>
      </c>
      <c r="F55" s="17" t="s">
        <v>182</v>
      </c>
    </row>
    <row r="56" spans="1:6" ht="37.5" x14ac:dyDescent="0.35">
      <c r="A56" t="s">
        <v>267</v>
      </c>
      <c r="B56" s="20" t="str">
        <f t="shared" si="2"/>
        <v>03</v>
      </c>
      <c r="C56" s="9" t="str">
        <f t="shared" si="1"/>
        <v>ENG303</v>
      </c>
      <c r="D56" s="10" t="s">
        <v>210</v>
      </c>
      <c r="E56" s="14" t="s">
        <v>23</v>
      </c>
      <c r="F56" s="17" t="s">
        <v>182</v>
      </c>
    </row>
    <row r="57" spans="1:6" ht="25" x14ac:dyDescent="0.35">
      <c r="A57" t="s">
        <v>267</v>
      </c>
      <c r="B57" s="20" t="str">
        <f t="shared" si="2"/>
        <v>04</v>
      </c>
      <c r="C57" s="9" t="str">
        <f t="shared" si="1"/>
        <v>ENG304</v>
      </c>
      <c r="D57" s="10" t="s">
        <v>211</v>
      </c>
      <c r="E57" s="14" t="s">
        <v>23</v>
      </c>
      <c r="F57" s="17" t="s">
        <v>182</v>
      </c>
    </row>
    <row r="58" spans="1:6" ht="37.5" x14ac:dyDescent="0.35">
      <c r="A58" t="s">
        <v>267</v>
      </c>
      <c r="B58" s="20" t="str">
        <f t="shared" si="2"/>
        <v>05</v>
      </c>
      <c r="C58" s="9" t="str">
        <f t="shared" si="1"/>
        <v>ENG305</v>
      </c>
      <c r="D58" s="10" t="s">
        <v>212</v>
      </c>
      <c r="E58" s="14" t="s">
        <v>23</v>
      </c>
      <c r="F58" s="17" t="s">
        <v>194</v>
      </c>
    </row>
    <row r="59" spans="1:6" ht="25" x14ac:dyDescent="0.35">
      <c r="A59" t="s">
        <v>268</v>
      </c>
      <c r="B59" s="20" t="str">
        <f t="shared" si="2"/>
        <v>01</v>
      </c>
      <c r="C59" s="9" t="str">
        <f t="shared" si="1"/>
        <v>ENG401</v>
      </c>
      <c r="D59" s="10" t="s">
        <v>253</v>
      </c>
      <c r="E59" s="14" t="s">
        <v>23</v>
      </c>
      <c r="F59" s="17" t="s">
        <v>254</v>
      </c>
    </row>
    <row r="60" spans="1:6" ht="25" x14ac:dyDescent="0.35">
      <c r="A60" t="s">
        <v>268</v>
      </c>
      <c r="B60" s="20" t="str">
        <f t="shared" si="2"/>
        <v>02</v>
      </c>
      <c r="C60" s="9" t="str">
        <f t="shared" si="1"/>
        <v>ENG402</v>
      </c>
      <c r="D60" s="10" t="s">
        <v>255</v>
      </c>
      <c r="E60" s="14" t="s">
        <v>23</v>
      </c>
      <c r="F60" s="17" t="s">
        <v>256</v>
      </c>
    </row>
    <row r="61" spans="1:6" ht="25" x14ac:dyDescent="0.35">
      <c r="A61" t="s">
        <v>268</v>
      </c>
      <c r="B61" s="20" t="str">
        <f t="shared" si="2"/>
        <v>03</v>
      </c>
      <c r="C61" s="9" t="str">
        <f t="shared" si="1"/>
        <v>ENG403</v>
      </c>
      <c r="D61" s="10" t="s">
        <v>257</v>
      </c>
      <c r="E61" s="14" t="s">
        <v>23</v>
      </c>
      <c r="F61" s="17" t="s">
        <v>258</v>
      </c>
    </row>
    <row r="62" spans="1:6" ht="25" x14ac:dyDescent="0.35">
      <c r="A62" t="s">
        <v>266</v>
      </c>
      <c r="B62" s="20" t="str">
        <f t="shared" si="2"/>
        <v>01</v>
      </c>
      <c r="C62" s="9" t="str">
        <f t="shared" si="1"/>
        <v>KOM101</v>
      </c>
      <c r="D62" s="10" t="s">
        <v>137</v>
      </c>
      <c r="E62" s="12" t="s">
        <v>21</v>
      </c>
      <c r="F62" s="17" t="s">
        <v>81</v>
      </c>
    </row>
    <row r="63" spans="1:6" ht="25" x14ac:dyDescent="0.35">
      <c r="A63" t="s">
        <v>266</v>
      </c>
      <c r="B63" s="20" t="str">
        <f t="shared" si="2"/>
        <v>02</v>
      </c>
      <c r="C63" s="9" t="str">
        <f t="shared" si="1"/>
        <v>KOM102</v>
      </c>
      <c r="D63" s="10" t="s">
        <v>138</v>
      </c>
      <c r="E63" s="12" t="s">
        <v>21</v>
      </c>
      <c r="F63" s="17" t="s">
        <v>139</v>
      </c>
    </row>
    <row r="64" spans="1:6" ht="25" x14ac:dyDescent="0.35">
      <c r="A64" t="s">
        <v>266</v>
      </c>
      <c r="B64" s="20" t="str">
        <f t="shared" si="2"/>
        <v>03</v>
      </c>
      <c r="C64" s="9" t="str">
        <f t="shared" si="1"/>
        <v>KOM103</v>
      </c>
      <c r="D64" s="10" t="s">
        <v>140</v>
      </c>
      <c r="E64" s="12" t="s">
        <v>21</v>
      </c>
      <c r="F64" s="17" t="s">
        <v>141</v>
      </c>
    </row>
    <row r="65" spans="1:6" ht="25" x14ac:dyDescent="0.35">
      <c r="A65" t="s">
        <v>266</v>
      </c>
      <c r="B65" s="20" t="str">
        <f t="shared" si="2"/>
        <v>04</v>
      </c>
      <c r="C65" s="9" t="str">
        <f t="shared" si="1"/>
        <v>KOM104</v>
      </c>
      <c r="D65" s="10" t="s">
        <v>142</v>
      </c>
      <c r="E65" s="12" t="s">
        <v>21</v>
      </c>
      <c r="F65" s="17" t="s">
        <v>143</v>
      </c>
    </row>
    <row r="66" spans="1:6" ht="25" x14ac:dyDescent="0.35">
      <c r="A66" t="s">
        <v>266</v>
      </c>
      <c r="B66" s="20" t="str">
        <f t="shared" si="2"/>
        <v>05</v>
      </c>
      <c r="C66" s="9" t="str">
        <f t="shared" si="1"/>
        <v>KOM105</v>
      </c>
      <c r="D66" s="10" t="s">
        <v>144</v>
      </c>
      <c r="E66" s="12" t="s">
        <v>21</v>
      </c>
      <c r="F66" s="17" t="s">
        <v>130</v>
      </c>
    </row>
    <row r="67" spans="1:6" ht="25" x14ac:dyDescent="0.35">
      <c r="A67" t="s">
        <v>269</v>
      </c>
      <c r="B67" s="20" t="str">
        <f t="shared" ref="B67:B98" si="3">TEXT(IF(A67=A66,B66+1,1),"00")</f>
        <v>01</v>
      </c>
      <c r="C67" s="9" t="str">
        <f t="shared" ref="C67:C130" si="4">UPPER(LEFT(E67,3)&amp;LEFT(A67,1)&amp;B67)</f>
        <v>KOM201</v>
      </c>
      <c r="D67" s="10" t="s">
        <v>56</v>
      </c>
      <c r="E67" s="12" t="s">
        <v>21</v>
      </c>
      <c r="F67" s="17" t="s">
        <v>57</v>
      </c>
    </row>
    <row r="68" spans="1:6" ht="25" x14ac:dyDescent="0.35">
      <c r="A68" t="s">
        <v>269</v>
      </c>
      <c r="B68" s="20" t="str">
        <f t="shared" si="3"/>
        <v>02</v>
      </c>
      <c r="C68" s="9" t="str">
        <f t="shared" si="4"/>
        <v>KOM202</v>
      </c>
      <c r="D68" s="10" t="s">
        <v>58</v>
      </c>
      <c r="E68" s="12" t="s">
        <v>21</v>
      </c>
      <c r="F68" s="17" t="s">
        <v>59</v>
      </c>
    </row>
    <row r="69" spans="1:6" ht="25" x14ac:dyDescent="0.35">
      <c r="A69" t="s">
        <v>269</v>
      </c>
      <c r="B69" s="20" t="str">
        <f t="shared" si="3"/>
        <v>03</v>
      </c>
      <c r="C69" s="9" t="str">
        <f t="shared" si="4"/>
        <v>KOM203</v>
      </c>
      <c r="D69" s="10" t="s">
        <v>60</v>
      </c>
      <c r="E69" s="12" t="s">
        <v>21</v>
      </c>
      <c r="F69" s="17" t="s">
        <v>61</v>
      </c>
    </row>
    <row r="70" spans="1:6" ht="37.5" x14ac:dyDescent="0.35">
      <c r="A70" t="s">
        <v>267</v>
      </c>
      <c r="B70" s="20" t="str">
        <f t="shared" si="3"/>
        <v>01</v>
      </c>
      <c r="C70" s="9" t="str">
        <f t="shared" si="4"/>
        <v>KOM301</v>
      </c>
      <c r="D70" s="10" t="s">
        <v>198</v>
      </c>
      <c r="E70" s="12" t="s">
        <v>21</v>
      </c>
      <c r="F70" s="17" t="s">
        <v>175</v>
      </c>
    </row>
    <row r="71" spans="1:6" ht="25" x14ac:dyDescent="0.35">
      <c r="A71" t="s">
        <v>267</v>
      </c>
      <c r="B71" s="20" t="str">
        <f t="shared" si="3"/>
        <v>02</v>
      </c>
      <c r="C71" s="9" t="str">
        <f t="shared" si="4"/>
        <v>KOM302</v>
      </c>
      <c r="D71" s="10" t="s">
        <v>199</v>
      </c>
      <c r="E71" s="12" t="s">
        <v>21</v>
      </c>
      <c r="F71" s="17" t="s">
        <v>182</v>
      </c>
    </row>
    <row r="72" spans="1:6" ht="25" x14ac:dyDescent="0.35">
      <c r="A72" t="s">
        <v>267</v>
      </c>
      <c r="B72" s="20" t="str">
        <f t="shared" si="3"/>
        <v>03</v>
      </c>
      <c r="C72" s="9" t="str">
        <f t="shared" si="4"/>
        <v>KOM303</v>
      </c>
      <c r="D72" s="10" t="s">
        <v>200</v>
      </c>
      <c r="E72" s="12" t="s">
        <v>21</v>
      </c>
      <c r="F72" s="17" t="s">
        <v>182</v>
      </c>
    </row>
    <row r="73" spans="1:6" ht="25" x14ac:dyDescent="0.35">
      <c r="A73" t="s">
        <v>267</v>
      </c>
      <c r="B73" s="20" t="str">
        <f t="shared" si="3"/>
        <v>04</v>
      </c>
      <c r="C73" s="9" t="str">
        <f t="shared" si="4"/>
        <v>KOM304</v>
      </c>
      <c r="D73" s="10" t="s">
        <v>201</v>
      </c>
      <c r="E73" s="12" t="s">
        <v>21</v>
      </c>
      <c r="F73" s="17" t="s">
        <v>182</v>
      </c>
    </row>
    <row r="74" spans="1:6" ht="37.5" x14ac:dyDescent="0.35">
      <c r="A74" t="s">
        <v>267</v>
      </c>
      <c r="B74" s="20" t="str">
        <f t="shared" si="3"/>
        <v>05</v>
      </c>
      <c r="C74" s="9" t="str">
        <f t="shared" si="4"/>
        <v>KOM305</v>
      </c>
      <c r="D74" s="10" t="s">
        <v>202</v>
      </c>
      <c r="E74" s="12" t="s">
        <v>21</v>
      </c>
      <c r="F74" s="17" t="s">
        <v>194</v>
      </c>
    </row>
    <row r="75" spans="1:6" ht="25" x14ac:dyDescent="0.35">
      <c r="A75" t="s">
        <v>268</v>
      </c>
      <c r="B75" s="20" t="str">
        <f t="shared" si="3"/>
        <v>01</v>
      </c>
      <c r="C75" s="9" t="str">
        <f t="shared" si="4"/>
        <v>KOM401</v>
      </c>
      <c r="D75" s="10" t="s">
        <v>241</v>
      </c>
      <c r="E75" s="12" t="s">
        <v>21</v>
      </c>
      <c r="F75" s="17" t="s">
        <v>242</v>
      </c>
    </row>
    <row r="76" spans="1:6" ht="25" x14ac:dyDescent="0.35">
      <c r="A76" t="s">
        <v>268</v>
      </c>
      <c r="B76" s="20" t="str">
        <f t="shared" si="3"/>
        <v>02</v>
      </c>
      <c r="C76" s="9" t="str">
        <f t="shared" si="4"/>
        <v>KOM402</v>
      </c>
      <c r="D76" s="10" t="s">
        <v>243</v>
      </c>
      <c r="E76" s="12" t="s">
        <v>21</v>
      </c>
      <c r="F76" s="17" t="s">
        <v>244</v>
      </c>
    </row>
    <row r="77" spans="1:6" ht="25" x14ac:dyDescent="0.35">
      <c r="A77" t="s">
        <v>268</v>
      </c>
      <c r="B77" s="20" t="str">
        <f t="shared" si="3"/>
        <v>03</v>
      </c>
      <c r="C77" s="9" t="str">
        <f t="shared" si="4"/>
        <v>KOM403</v>
      </c>
      <c r="D77" s="10" t="s">
        <v>245</v>
      </c>
      <c r="E77" s="12" t="s">
        <v>21</v>
      </c>
      <c r="F77" s="17" t="s">
        <v>246</v>
      </c>
    </row>
    <row r="78" spans="1:6" x14ac:dyDescent="0.35">
      <c r="A78" t="s">
        <v>266</v>
      </c>
      <c r="B78" s="20" t="str">
        <f t="shared" si="3"/>
        <v>01</v>
      </c>
      <c r="C78" s="9" t="str">
        <f t="shared" si="4"/>
        <v>LIT101</v>
      </c>
      <c r="D78" s="10" t="s">
        <v>83</v>
      </c>
      <c r="E78" s="10" t="s">
        <v>19</v>
      </c>
      <c r="F78" s="17" t="s">
        <v>81</v>
      </c>
    </row>
    <row r="79" spans="1:6" x14ac:dyDescent="0.35">
      <c r="A79" t="s">
        <v>266</v>
      </c>
      <c r="B79" s="20" t="str">
        <f t="shared" si="3"/>
        <v>02</v>
      </c>
      <c r="C79" s="9" t="str">
        <f t="shared" si="4"/>
        <v>LIT102</v>
      </c>
      <c r="D79" s="10" t="s">
        <v>97</v>
      </c>
      <c r="E79" s="10" t="s">
        <v>19</v>
      </c>
      <c r="F79" s="17" t="s">
        <v>95</v>
      </c>
    </row>
    <row r="80" spans="1:6" x14ac:dyDescent="0.35">
      <c r="A80" t="s">
        <v>266</v>
      </c>
      <c r="B80" s="20" t="str">
        <f t="shared" si="3"/>
        <v>03</v>
      </c>
      <c r="C80" s="9" t="str">
        <f t="shared" si="4"/>
        <v>LIT103</v>
      </c>
      <c r="D80" s="10" t="s">
        <v>98</v>
      </c>
      <c r="E80" s="10" t="s">
        <v>19</v>
      </c>
      <c r="F80" s="17" t="s">
        <v>95</v>
      </c>
    </row>
    <row r="81" spans="1:6" x14ac:dyDescent="0.35">
      <c r="A81" t="s">
        <v>266</v>
      </c>
      <c r="B81" s="20" t="str">
        <f t="shared" si="3"/>
        <v>04</v>
      </c>
      <c r="C81" s="9" t="str">
        <f t="shared" si="4"/>
        <v>LIT104</v>
      </c>
      <c r="D81" s="10" t="s">
        <v>107</v>
      </c>
      <c r="E81" s="10" t="s">
        <v>19</v>
      </c>
      <c r="F81" s="17" t="s">
        <v>103</v>
      </c>
    </row>
    <row r="82" spans="1:6" x14ac:dyDescent="0.35">
      <c r="A82" t="s">
        <v>266</v>
      </c>
      <c r="B82" s="20" t="str">
        <f t="shared" si="3"/>
        <v>05</v>
      </c>
      <c r="C82" s="9" t="str">
        <f t="shared" si="4"/>
        <v>LIT105</v>
      </c>
      <c r="D82" s="10" t="s">
        <v>120</v>
      </c>
      <c r="E82" s="10" t="s">
        <v>19</v>
      </c>
      <c r="F82" s="17" t="s">
        <v>121</v>
      </c>
    </row>
    <row r="83" spans="1:6" x14ac:dyDescent="0.35">
      <c r="A83" t="s">
        <v>266</v>
      </c>
      <c r="B83" s="20" t="str">
        <f t="shared" si="3"/>
        <v>06</v>
      </c>
      <c r="C83" s="9" t="str">
        <f t="shared" si="4"/>
        <v>LIT106</v>
      </c>
      <c r="D83" s="10" t="s">
        <v>122</v>
      </c>
      <c r="E83" s="10" t="s">
        <v>19</v>
      </c>
      <c r="F83" s="17" t="s">
        <v>121</v>
      </c>
    </row>
    <row r="84" spans="1:6" x14ac:dyDescent="0.35">
      <c r="A84" t="s">
        <v>266</v>
      </c>
      <c r="B84" s="20" t="str">
        <f t="shared" si="3"/>
        <v>07</v>
      </c>
      <c r="C84" s="9" t="str">
        <f t="shared" si="4"/>
        <v>LIT107</v>
      </c>
      <c r="D84" s="10" t="s">
        <v>123</v>
      </c>
      <c r="E84" s="10" t="s">
        <v>19</v>
      </c>
      <c r="F84" s="17" t="s">
        <v>121</v>
      </c>
    </row>
    <row r="85" spans="1:6" x14ac:dyDescent="0.35">
      <c r="A85" t="s">
        <v>266</v>
      </c>
      <c r="B85" s="20" t="str">
        <f t="shared" si="3"/>
        <v>08</v>
      </c>
      <c r="C85" s="9" t="str">
        <f t="shared" si="4"/>
        <v>LIT108</v>
      </c>
      <c r="D85" s="10" t="s">
        <v>125</v>
      </c>
      <c r="E85" s="10" t="s">
        <v>19</v>
      </c>
      <c r="F85" s="17" t="s">
        <v>121</v>
      </c>
    </row>
    <row r="86" spans="1:6" x14ac:dyDescent="0.35">
      <c r="A86" t="s">
        <v>266</v>
      </c>
      <c r="B86" s="20" t="str">
        <f t="shared" si="3"/>
        <v>09</v>
      </c>
      <c r="C86" s="9" t="str">
        <f t="shared" si="4"/>
        <v>LIT109</v>
      </c>
      <c r="D86" s="10" t="s">
        <v>126</v>
      </c>
      <c r="E86" s="10" t="s">
        <v>19</v>
      </c>
      <c r="F86" s="17" t="s">
        <v>121</v>
      </c>
    </row>
    <row r="87" spans="1:6" ht="25" x14ac:dyDescent="0.35">
      <c r="A87" t="s">
        <v>266</v>
      </c>
      <c r="B87" s="20" t="str">
        <f t="shared" si="3"/>
        <v>10</v>
      </c>
      <c r="C87" s="9" t="str">
        <f t="shared" si="4"/>
        <v>LIT110</v>
      </c>
      <c r="D87" s="10" t="s">
        <v>127</v>
      </c>
      <c r="E87" s="10" t="s">
        <v>19</v>
      </c>
      <c r="F87" s="17" t="s">
        <v>121</v>
      </c>
    </row>
    <row r="88" spans="1:6" x14ac:dyDescent="0.35">
      <c r="A88" t="s">
        <v>266</v>
      </c>
      <c r="B88" s="20" t="str">
        <f t="shared" si="3"/>
        <v>11</v>
      </c>
      <c r="C88" s="9" t="str">
        <f t="shared" si="4"/>
        <v>LIT111</v>
      </c>
      <c r="D88" s="10" t="s">
        <v>133</v>
      </c>
      <c r="E88" s="10" t="s">
        <v>19</v>
      </c>
      <c r="F88" s="17" t="s">
        <v>130</v>
      </c>
    </row>
    <row r="89" spans="1:6" x14ac:dyDescent="0.35">
      <c r="A89" t="s">
        <v>266</v>
      </c>
      <c r="B89" s="20" t="str">
        <f t="shared" si="3"/>
        <v>12</v>
      </c>
      <c r="C89" s="9" t="str">
        <f t="shared" si="4"/>
        <v>LIT112</v>
      </c>
      <c r="D89" s="10" t="s">
        <v>134</v>
      </c>
      <c r="E89" s="10" t="s">
        <v>19</v>
      </c>
      <c r="F89" s="17" t="s">
        <v>130</v>
      </c>
    </row>
    <row r="90" spans="1:6" ht="25" x14ac:dyDescent="0.35">
      <c r="A90" t="s">
        <v>267</v>
      </c>
      <c r="B90" s="20" t="str">
        <f t="shared" si="3"/>
        <v>01</v>
      </c>
      <c r="C90" s="9" t="str">
        <f t="shared" si="4"/>
        <v>LIT301</v>
      </c>
      <c r="D90" s="10" t="s">
        <v>179</v>
      </c>
      <c r="E90" s="10" t="s">
        <v>19</v>
      </c>
      <c r="F90" s="17" t="s">
        <v>175</v>
      </c>
    </row>
    <row r="91" spans="1:6" ht="37.5" x14ac:dyDescent="0.35">
      <c r="A91" t="s">
        <v>267</v>
      </c>
      <c r="B91" s="20" t="str">
        <f t="shared" si="3"/>
        <v>02</v>
      </c>
      <c r="C91" s="9" t="str">
        <f t="shared" si="4"/>
        <v>LIT302</v>
      </c>
      <c r="D91" s="10" t="s">
        <v>183</v>
      </c>
      <c r="E91" s="10" t="s">
        <v>19</v>
      </c>
      <c r="F91" s="17" t="s">
        <v>182</v>
      </c>
    </row>
    <row r="92" spans="1:6" ht="25" x14ac:dyDescent="0.35">
      <c r="A92" t="s">
        <v>267</v>
      </c>
      <c r="B92" s="20" t="str">
        <f t="shared" si="3"/>
        <v>03</v>
      </c>
      <c r="C92" s="9" t="str">
        <f t="shared" si="4"/>
        <v>LIT303</v>
      </c>
      <c r="D92" s="10" t="s">
        <v>197</v>
      </c>
      <c r="E92" s="10" t="s">
        <v>19</v>
      </c>
      <c r="F92" s="17" t="s">
        <v>194</v>
      </c>
    </row>
    <row r="93" spans="1:6" ht="25" x14ac:dyDescent="0.35">
      <c r="A93" t="s">
        <v>266</v>
      </c>
      <c r="B93" s="20" t="str">
        <f t="shared" si="3"/>
        <v>01</v>
      </c>
      <c r="C93" s="9" t="str">
        <f t="shared" si="4"/>
        <v>MAN101</v>
      </c>
      <c r="D93" s="10" t="s">
        <v>164</v>
      </c>
      <c r="E93" s="15" t="s">
        <v>24</v>
      </c>
      <c r="F93" s="17" t="s">
        <v>165</v>
      </c>
    </row>
    <row r="94" spans="1:6" ht="25" x14ac:dyDescent="0.35">
      <c r="A94" t="s">
        <v>266</v>
      </c>
      <c r="B94" s="20" t="str">
        <f t="shared" si="3"/>
        <v>02</v>
      </c>
      <c r="C94" s="9" t="str">
        <f t="shared" si="4"/>
        <v>MAN102</v>
      </c>
      <c r="D94" s="10" t="s">
        <v>166</v>
      </c>
      <c r="E94" s="15" t="s">
        <v>24</v>
      </c>
      <c r="F94" s="17" t="s">
        <v>167</v>
      </c>
    </row>
    <row r="95" spans="1:6" ht="25" x14ac:dyDescent="0.35">
      <c r="A95" t="s">
        <v>266</v>
      </c>
      <c r="B95" s="20" t="str">
        <f t="shared" si="3"/>
        <v>03</v>
      </c>
      <c r="C95" s="9" t="str">
        <f t="shared" si="4"/>
        <v>MAN103</v>
      </c>
      <c r="D95" s="10" t="s">
        <v>168</v>
      </c>
      <c r="E95" s="15" t="s">
        <v>24</v>
      </c>
      <c r="F95" s="17" t="s">
        <v>169</v>
      </c>
    </row>
    <row r="96" spans="1:6" ht="25" x14ac:dyDescent="0.35">
      <c r="A96" t="s">
        <v>266</v>
      </c>
      <c r="B96" s="20" t="str">
        <f t="shared" si="3"/>
        <v>04</v>
      </c>
      <c r="C96" s="9" t="str">
        <f t="shared" si="4"/>
        <v>MAN104</v>
      </c>
      <c r="D96" s="10" t="s">
        <v>170</v>
      </c>
      <c r="E96" s="15" t="s">
        <v>24</v>
      </c>
      <c r="F96" s="17" t="s">
        <v>171</v>
      </c>
    </row>
    <row r="97" spans="1:6" ht="25" x14ac:dyDescent="0.35">
      <c r="A97" t="s">
        <v>266</v>
      </c>
      <c r="B97" s="20" t="str">
        <f t="shared" si="3"/>
        <v>05</v>
      </c>
      <c r="C97" s="9" t="str">
        <f t="shared" si="4"/>
        <v>MAN105</v>
      </c>
      <c r="D97" s="10" t="s">
        <v>172</v>
      </c>
      <c r="E97" s="15" t="s">
        <v>24</v>
      </c>
      <c r="F97" s="17" t="s">
        <v>173</v>
      </c>
    </row>
    <row r="98" spans="1:6" ht="25" x14ac:dyDescent="0.35">
      <c r="A98" t="s">
        <v>269</v>
      </c>
      <c r="B98" s="20" t="str">
        <f t="shared" si="3"/>
        <v>01</v>
      </c>
      <c r="C98" s="9" t="str">
        <f t="shared" si="4"/>
        <v>MAN201</v>
      </c>
      <c r="D98" s="10" t="s">
        <v>74</v>
      </c>
      <c r="E98" s="15" t="s">
        <v>24</v>
      </c>
      <c r="F98" s="17" t="s">
        <v>75</v>
      </c>
    </row>
    <row r="99" spans="1:6" ht="25" x14ac:dyDescent="0.35">
      <c r="A99" t="s">
        <v>269</v>
      </c>
      <c r="B99" s="20" t="str">
        <f t="shared" ref="B99:B130" si="5">TEXT(IF(A99=A98,B98+1,1),"00")</f>
        <v>02</v>
      </c>
      <c r="C99" s="9" t="str">
        <f t="shared" si="4"/>
        <v>MAN202</v>
      </c>
      <c r="D99" s="10" t="s">
        <v>76</v>
      </c>
      <c r="E99" s="15" t="s">
        <v>24</v>
      </c>
      <c r="F99" s="17" t="s">
        <v>77</v>
      </c>
    </row>
    <row r="100" spans="1:6" ht="25" x14ac:dyDescent="0.35">
      <c r="A100" t="s">
        <v>269</v>
      </c>
      <c r="B100" s="20" t="str">
        <f t="shared" si="5"/>
        <v>03</v>
      </c>
      <c r="C100" s="9" t="str">
        <f t="shared" si="4"/>
        <v>MAN203</v>
      </c>
      <c r="D100" s="10" t="s">
        <v>78</v>
      </c>
      <c r="E100" s="15" t="s">
        <v>24</v>
      </c>
      <c r="F100" s="17" t="s">
        <v>79</v>
      </c>
    </row>
    <row r="101" spans="1:6" ht="25" x14ac:dyDescent="0.35">
      <c r="A101" t="s">
        <v>267</v>
      </c>
      <c r="B101" s="20" t="str">
        <f t="shared" si="5"/>
        <v>01</v>
      </c>
      <c r="C101" s="9" t="str">
        <f t="shared" si="4"/>
        <v>MAN301</v>
      </c>
      <c r="D101" s="10" t="s">
        <v>213</v>
      </c>
      <c r="E101" s="15" t="s">
        <v>24</v>
      </c>
      <c r="F101" s="17" t="s">
        <v>175</v>
      </c>
    </row>
    <row r="102" spans="1:6" ht="37.5" x14ac:dyDescent="0.35">
      <c r="A102" t="s">
        <v>267</v>
      </c>
      <c r="B102" s="20" t="str">
        <f t="shared" si="5"/>
        <v>02</v>
      </c>
      <c r="C102" s="9" t="str">
        <f t="shared" si="4"/>
        <v>MAN302</v>
      </c>
      <c r="D102" s="10" t="s">
        <v>214</v>
      </c>
      <c r="E102" s="15" t="s">
        <v>24</v>
      </c>
      <c r="F102" s="17" t="s">
        <v>182</v>
      </c>
    </row>
    <row r="103" spans="1:6" ht="37.5" x14ac:dyDescent="0.35">
      <c r="A103" t="s">
        <v>267</v>
      </c>
      <c r="B103" s="20" t="str">
        <f t="shared" si="5"/>
        <v>03</v>
      </c>
      <c r="C103" s="9" t="str">
        <f t="shared" si="4"/>
        <v>MAN303</v>
      </c>
      <c r="D103" s="10" t="s">
        <v>215</v>
      </c>
      <c r="E103" s="15" t="s">
        <v>24</v>
      </c>
      <c r="F103" s="17" t="s">
        <v>182</v>
      </c>
    </row>
    <row r="104" spans="1:6" ht="37.5" x14ac:dyDescent="0.35">
      <c r="A104" t="s">
        <v>267</v>
      </c>
      <c r="B104" s="20" t="str">
        <f t="shared" si="5"/>
        <v>04</v>
      </c>
      <c r="C104" s="9" t="str">
        <f t="shared" si="4"/>
        <v>MAN304</v>
      </c>
      <c r="D104" s="10" t="s">
        <v>216</v>
      </c>
      <c r="E104" s="15" t="s">
        <v>24</v>
      </c>
      <c r="F104" s="17" t="s">
        <v>182</v>
      </c>
    </row>
    <row r="105" spans="1:6" ht="37.5" x14ac:dyDescent="0.35">
      <c r="A105" t="s">
        <v>267</v>
      </c>
      <c r="B105" s="20" t="str">
        <f t="shared" si="5"/>
        <v>05</v>
      </c>
      <c r="C105" s="9" t="str">
        <f t="shared" si="4"/>
        <v>MAN305</v>
      </c>
      <c r="D105" s="10" t="s">
        <v>217</v>
      </c>
      <c r="E105" s="15" t="s">
        <v>24</v>
      </c>
      <c r="F105" s="17" t="s">
        <v>194</v>
      </c>
    </row>
    <row r="106" spans="1:6" ht="25" x14ac:dyDescent="0.35">
      <c r="A106" t="s">
        <v>268</v>
      </c>
      <c r="B106" s="20" t="str">
        <f t="shared" si="5"/>
        <v>01</v>
      </c>
      <c r="C106" s="9" t="str">
        <f t="shared" si="4"/>
        <v>MAN401</v>
      </c>
      <c r="D106" s="10" t="s">
        <v>259</v>
      </c>
      <c r="E106" s="15" t="s">
        <v>24</v>
      </c>
      <c r="F106" s="17" t="s">
        <v>260</v>
      </c>
    </row>
    <row r="107" spans="1:6" ht="25" x14ac:dyDescent="0.35">
      <c r="A107" t="s">
        <v>268</v>
      </c>
      <c r="B107" s="20" t="str">
        <f t="shared" si="5"/>
        <v>02</v>
      </c>
      <c r="C107" s="9" t="str">
        <f t="shared" si="4"/>
        <v>MAN402</v>
      </c>
      <c r="D107" s="10" t="s">
        <v>261</v>
      </c>
      <c r="E107" s="15" t="s">
        <v>24</v>
      </c>
      <c r="F107" s="17" t="s">
        <v>262</v>
      </c>
    </row>
    <row r="108" spans="1:6" ht="25" x14ac:dyDescent="0.35">
      <c r="A108" t="s">
        <v>268</v>
      </c>
      <c r="B108" s="20" t="str">
        <f t="shared" si="5"/>
        <v>03</v>
      </c>
      <c r="C108" s="9" t="str">
        <f t="shared" si="4"/>
        <v>MAN403</v>
      </c>
      <c r="D108" s="10" t="s">
        <v>263</v>
      </c>
      <c r="E108" s="15" t="s">
        <v>24</v>
      </c>
      <c r="F108" s="17" t="s">
        <v>264</v>
      </c>
    </row>
    <row r="109" spans="1:6" x14ac:dyDescent="0.35">
      <c r="A109" t="s">
        <v>266</v>
      </c>
      <c r="B109" s="20" t="str">
        <f t="shared" si="5"/>
        <v>01</v>
      </c>
      <c r="C109" s="9" t="str">
        <f t="shared" si="4"/>
        <v>PEM101</v>
      </c>
      <c r="D109" s="10" t="s">
        <v>84</v>
      </c>
      <c r="E109" s="10" t="s">
        <v>17</v>
      </c>
      <c r="F109" s="17" t="s">
        <v>81</v>
      </c>
    </row>
    <row r="110" spans="1:6" x14ac:dyDescent="0.35">
      <c r="A110" t="s">
        <v>266</v>
      </c>
      <c r="B110" s="20" t="str">
        <f t="shared" si="5"/>
        <v>02</v>
      </c>
      <c r="C110" s="9" t="str">
        <f t="shared" si="4"/>
        <v>PEM102</v>
      </c>
      <c r="D110" s="10" t="s">
        <v>85</v>
      </c>
      <c r="E110" s="10" t="s">
        <v>17</v>
      </c>
      <c r="F110" s="17" t="s">
        <v>81</v>
      </c>
    </row>
    <row r="111" spans="1:6" x14ac:dyDescent="0.35">
      <c r="A111" t="s">
        <v>266</v>
      </c>
      <c r="B111" s="20" t="str">
        <f t="shared" si="5"/>
        <v>03</v>
      </c>
      <c r="C111" s="9" t="str">
        <f t="shared" si="4"/>
        <v>PEM103</v>
      </c>
      <c r="D111" s="10" t="s">
        <v>87</v>
      </c>
      <c r="E111" s="10" t="s">
        <v>17</v>
      </c>
      <c r="F111" s="17" t="s">
        <v>88</v>
      </c>
    </row>
    <row r="112" spans="1:6" x14ac:dyDescent="0.35">
      <c r="A112" t="s">
        <v>266</v>
      </c>
      <c r="B112" s="20" t="str">
        <f t="shared" si="5"/>
        <v>04</v>
      </c>
      <c r="C112" s="9" t="str">
        <f t="shared" si="4"/>
        <v>PEM104</v>
      </c>
      <c r="D112" s="10" t="s">
        <v>89</v>
      </c>
      <c r="E112" s="10" t="s">
        <v>17</v>
      </c>
      <c r="F112" s="17" t="s">
        <v>88</v>
      </c>
    </row>
    <row r="113" spans="1:6" x14ac:dyDescent="0.35">
      <c r="A113" t="s">
        <v>266</v>
      </c>
      <c r="B113" s="20" t="str">
        <f t="shared" si="5"/>
        <v>05</v>
      </c>
      <c r="C113" s="9" t="str">
        <f t="shared" si="4"/>
        <v>PEM105</v>
      </c>
      <c r="D113" s="10" t="s">
        <v>94</v>
      </c>
      <c r="E113" s="10" t="s">
        <v>17</v>
      </c>
      <c r="F113" s="17" t="s">
        <v>95</v>
      </c>
    </row>
    <row r="114" spans="1:6" x14ac:dyDescent="0.35">
      <c r="A114" t="s">
        <v>266</v>
      </c>
      <c r="B114" s="20" t="str">
        <f t="shared" si="5"/>
        <v>06</v>
      </c>
      <c r="C114" s="9" t="str">
        <f t="shared" si="4"/>
        <v>PEM106</v>
      </c>
      <c r="D114" s="10" t="s">
        <v>96</v>
      </c>
      <c r="E114" s="10" t="s">
        <v>17</v>
      </c>
      <c r="F114" s="17" t="s">
        <v>95</v>
      </c>
    </row>
    <row r="115" spans="1:6" x14ac:dyDescent="0.35">
      <c r="A115" t="s">
        <v>266</v>
      </c>
      <c r="B115" s="20" t="str">
        <f t="shared" si="5"/>
        <v>07</v>
      </c>
      <c r="C115" s="9" t="str">
        <f t="shared" si="4"/>
        <v>PEM107</v>
      </c>
      <c r="D115" s="10" t="s">
        <v>99</v>
      </c>
      <c r="E115" s="10" t="s">
        <v>17</v>
      </c>
      <c r="F115" s="17" t="s">
        <v>95</v>
      </c>
    </row>
    <row r="116" spans="1:6" x14ac:dyDescent="0.35">
      <c r="A116" t="s">
        <v>266</v>
      </c>
      <c r="B116" s="20" t="str">
        <f t="shared" si="5"/>
        <v>08</v>
      </c>
      <c r="C116" s="9" t="str">
        <f t="shared" si="4"/>
        <v>PEM108</v>
      </c>
      <c r="D116" s="10" t="s">
        <v>101</v>
      </c>
      <c r="E116" s="10" t="s">
        <v>17</v>
      </c>
      <c r="F116" s="17" t="s">
        <v>95</v>
      </c>
    </row>
    <row r="117" spans="1:6" ht="25" x14ac:dyDescent="0.35">
      <c r="A117" t="s">
        <v>266</v>
      </c>
      <c r="B117" s="20" t="str">
        <f t="shared" si="5"/>
        <v>09</v>
      </c>
      <c r="C117" s="9" t="str">
        <f t="shared" si="4"/>
        <v>PEM109</v>
      </c>
      <c r="D117" s="10" t="s">
        <v>102</v>
      </c>
      <c r="E117" s="10" t="s">
        <v>17</v>
      </c>
      <c r="F117" s="17" t="s">
        <v>103</v>
      </c>
    </row>
    <row r="118" spans="1:6" x14ac:dyDescent="0.35">
      <c r="A118" t="s">
        <v>266</v>
      </c>
      <c r="B118" s="20" t="str">
        <f t="shared" si="5"/>
        <v>10</v>
      </c>
      <c r="C118" s="9" t="str">
        <f t="shared" si="4"/>
        <v>PEM110</v>
      </c>
      <c r="D118" s="10" t="s">
        <v>104</v>
      </c>
      <c r="E118" s="10" t="s">
        <v>17</v>
      </c>
      <c r="F118" s="17" t="s">
        <v>103</v>
      </c>
    </row>
    <row r="119" spans="1:6" x14ac:dyDescent="0.35">
      <c r="A119" t="s">
        <v>266</v>
      </c>
      <c r="B119" s="20" t="str">
        <f t="shared" si="5"/>
        <v>11</v>
      </c>
      <c r="C119" s="9" t="str">
        <f t="shared" si="4"/>
        <v>PEM111</v>
      </c>
      <c r="D119" s="10" t="s">
        <v>105</v>
      </c>
      <c r="E119" s="10" t="s">
        <v>17</v>
      </c>
      <c r="F119" s="17" t="s">
        <v>103</v>
      </c>
    </row>
    <row r="120" spans="1:6" x14ac:dyDescent="0.35">
      <c r="A120" t="s">
        <v>266</v>
      </c>
      <c r="B120" s="20" t="str">
        <f t="shared" si="5"/>
        <v>12</v>
      </c>
      <c r="C120" s="9" t="str">
        <f t="shared" si="4"/>
        <v>PEM112</v>
      </c>
      <c r="D120" s="10" t="s">
        <v>106</v>
      </c>
      <c r="E120" s="10" t="s">
        <v>17</v>
      </c>
      <c r="F120" s="17" t="s">
        <v>103</v>
      </c>
    </row>
    <row r="121" spans="1:6" x14ac:dyDescent="0.35">
      <c r="A121" t="s">
        <v>266</v>
      </c>
      <c r="B121" s="20" t="str">
        <f t="shared" si="5"/>
        <v>13</v>
      </c>
      <c r="C121" s="9" t="str">
        <f t="shared" si="4"/>
        <v>PEM113</v>
      </c>
      <c r="D121" s="10" t="s">
        <v>110</v>
      </c>
      <c r="E121" s="10" t="s">
        <v>17</v>
      </c>
      <c r="F121" s="17" t="s">
        <v>111</v>
      </c>
    </row>
    <row r="122" spans="1:6" x14ac:dyDescent="0.35">
      <c r="A122" t="s">
        <v>266</v>
      </c>
      <c r="B122" s="20" t="str">
        <f t="shared" si="5"/>
        <v>14</v>
      </c>
      <c r="C122" s="9" t="str">
        <f t="shared" si="4"/>
        <v>PEM114</v>
      </c>
      <c r="D122" s="10" t="s">
        <v>112</v>
      </c>
      <c r="E122" s="10" t="s">
        <v>17</v>
      </c>
      <c r="F122" s="17" t="s">
        <v>111</v>
      </c>
    </row>
    <row r="123" spans="1:6" x14ac:dyDescent="0.35">
      <c r="A123" t="s">
        <v>266</v>
      </c>
      <c r="B123" s="20" t="str">
        <f t="shared" si="5"/>
        <v>15</v>
      </c>
      <c r="C123" s="9" t="str">
        <f t="shared" si="4"/>
        <v>PEM115</v>
      </c>
      <c r="D123" s="10" t="s">
        <v>113</v>
      </c>
      <c r="E123" s="10" t="s">
        <v>17</v>
      </c>
      <c r="F123" s="17" t="s">
        <v>111</v>
      </c>
    </row>
    <row r="124" spans="1:6" x14ac:dyDescent="0.35">
      <c r="A124" t="s">
        <v>266</v>
      </c>
      <c r="B124" s="20" t="str">
        <f t="shared" si="5"/>
        <v>16</v>
      </c>
      <c r="C124" s="9" t="str">
        <f t="shared" si="4"/>
        <v>PEM116</v>
      </c>
      <c r="D124" s="10" t="s">
        <v>114</v>
      </c>
      <c r="E124" s="10" t="s">
        <v>17</v>
      </c>
      <c r="F124" s="17" t="s">
        <v>111</v>
      </c>
    </row>
    <row r="125" spans="1:6" x14ac:dyDescent="0.35">
      <c r="A125" t="s">
        <v>266</v>
      </c>
      <c r="B125" s="20" t="str">
        <f t="shared" si="5"/>
        <v>17</v>
      </c>
      <c r="C125" s="9" t="str">
        <f t="shared" si="4"/>
        <v>PEM117</v>
      </c>
      <c r="D125" s="10" t="s">
        <v>115</v>
      </c>
      <c r="E125" s="10" t="s">
        <v>17</v>
      </c>
      <c r="F125" s="17" t="s">
        <v>111</v>
      </c>
    </row>
    <row r="126" spans="1:6" x14ac:dyDescent="0.35">
      <c r="A126" t="s">
        <v>266</v>
      </c>
      <c r="B126" s="20" t="str">
        <f t="shared" si="5"/>
        <v>18</v>
      </c>
      <c r="C126" s="9" t="str">
        <f t="shared" si="4"/>
        <v>PEM118</v>
      </c>
      <c r="D126" s="10" t="s">
        <v>118</v>
      </c>
      <c r="E126" s="10" t="s">
        <v>17</v>
      </c>
      <c r="F126" s="17" t="s">
        <v>117</v>
      </c>
    </row>
    <row r="127" spans="1:6" x14ac:dyDescent="0.35">
      <c r="A127" t="s">
        <v>266</v>
      </c>
      <c r="B127" s="20" t="str">
        <f t="shared" si="5"/>
        <v>19</v>
      </c>
      <c r="C127" s="9" t="str">
        <f t="shared" si="4"/>
        <v>PEM119</v>
      </c>
      <c r="D127" s="10" t="s">
        <v>119</v>
      </c>
      <c r="E127" s="10" t="s">
        <v>17</v>
      </c>
      <c r="F127" s="17" t="s">
        <v>117</v>
      </c>
    </row>
    <row r="128" spans="1:6" x14ac:dyDescent="0.35">
      <c r="A128" t="s">
        <v>266</v>
      </c>
      <c r="B128" s="20" t="str">
        <f t="shared" si="5"/>
        <v>20</v>
      </c>
      <c r="C128" s="9" t="str">
        <f t="shared" si="4"/>
        <v>PEM120</v>
      </c>
      <c r="D128" s="10" t="s">
        <v>124</v>
      </c>
      <c r="E128" s="10" t="s">
        <v>17</v>
      </c>
      <c r="F128" s="17" t="s">
        <v>121</v>
      </c>
    </row>
    <row r="129" spans="1:6" x14ac:dyDescent="0.35">
      <c r="A129" t="s">
        <v>269</v>
      </c>
      <c r="B129" s="20" t="str">
        <f t="shared" si="5"/>
        <v>01</v>
      </c>
      <c r="C129" s="9" t="str">
        <f t="shared" si="4"/>
        <v>PEM201</v>
      </c>
      <c r="D129" s="10" t="s">
        <v>36</v>
      </c>
      <c r="E129" s="10" t="s">
        <v>17</v>
      </c>
      <c r="F129" s="17" t="s">
        <v>37</v>
      </c>
    </row>
    <row r="130" spans="1:6" ht="25" x14ac:dyDescent="0.35">
      <c r="A130" t="s">
        <v>269</v>
      </c>
      <c r="B130" s="20" t="str">
        <f t="shared" si="5"/>
        <v>02</v>
      </c>
      <c r="C130" s="9" t="str">
        <f t="shared" si="4"/>
        <v>PEM202</v>
      </c>
      <c r="D130" s="10" t="s">
        <v>44</v>
      </c>
      <c r="E130" s="10" t="s">
        <v>17</v>
      </c>
      <c r="F130" s="17" t="s">
        <v>45</v>
      </c>
    </row>
    <row r="131" spans="1:6" x14ac:dyDescent="0.35">
      <c r="A131" t="s">
        <v>269</v>
      </c>
      <c r="B131" s="20" t="str">
        <f t="shared" ref="B131:B158" si="6">TEXT(IF(A131=A130,B130+1,1),"00")</f>
        <v>03</v>
      </c>
      <c r="C131" s="9" t="str">
        <f t="shared" ref="C131:C158" si="7">UPPER(LEFT(E131,3)&amp;LEFT(A131,1)&amp;B131)</f>
        <v>PEM203</v>
      </c>
      <c r="D131" s="10" t="s">
        <v>46</v>
      </c>
      <c r="E131" s="10" t="s">
        <v>17</v>
      </c>
      <c r="F131" s="17" t="s">
        <v>47</v>
      </c>
    </row>
    <row r="132" spans="1:6" ht="25" x14ac:dyDescent="0.35">
      <c r="A132" t="s">
        <v>267</v>
      </c>
      <c r="B132" s="20" t="str">
        <f t="shared" si="6"/>
        <v>01</v>
      </c>
      <c r="C132" s="9" t="str">
        <f t="shared" si="7"/>
        <v>PEM301</v>
      </c>
      <c r="D132" s="10" t="s">
        <v>176</v>
      </c>
      <c r="E132" s="10" t="s">
        <v>17</v>
      </c>
      <c r="F132" s="17" t="s">
        <v>175</v>
      </c>
    </row>
    <row r="133" spans="1:6" x14ac:dyDescent="0.35">
      <c r="A133" t="s">
        <v>267</v>
      </c>
      <c r="B133" s="20" t="str">
        <f t="shared" si="6"/>
        <v>02</v>
      </c>
      <c r="C133" s="9" t="str">
        <f t="shared" si="7"/>
        <v>PEM302</v>
      </c>
      <c r="D133" s="10" t="s">
        <v>177</v>
      </c>
      <c r="E133" s="10" t="s">
        <v>17</v>
      </c>
      <c r="F133" s="17" t="s">
        <v>175</v>
      </c>
    </row>
    <row r="134" spans="1:6" ht="25" x14ac:dyDescent="0.35">
      <c r="A134" t="s">
        <v>267</v>
      </c>
      <c r="B134" s="20" t="str">
        <f t="shared" si="6"/>
        <v>03</v>
      </c>
      <c r="C134" s="9" t="str">
        <f t="shared" si="7"/>
        <v>PEM303</v>
      </c>
      <c r="D134" s="10" t="s">
        <v>181</v>
      </c>
      <c r="E134" s="10" t="s">
        <v>17</v>
      </c>
      <c r="F134" s="17" t="s">
        <v>182</v>
      </c>
    </row>
    <row r="135" spans="1:6" ht="25" x14ac:dyDescent="0.35">
      <c r="A135" t="s">
        <v>267</v>
      </c>
      <c r="B135" s="20" t="str">
        <f t="shared" si="6"/>
        <v>04</v>
      </c>
      <c r="C135" s="9" t="str">
        <f t="shared" si="7"/>
        <v>PEM304</v>
      </c>
      <c r="D135" s="10" t="s">
        <v>184</v>
      </c>
      <c r="E135" s="10" t="s">
        <v>17</v>
      </c>
      <c r="F135" s="17" t="s">
        <v>185</v>
      </c>
    </row>
    <row r="136" spans="1:6" ht="25" x14ac:dyDescent="0.35">
      <c r="A136" t="s">
        <v>267</v>
      </c>
      <c r="B136" s="20" t="str">
        <f t="shared" si="6"/>
        <v>05</v>
      </c>
      <c r="C136" s="9" t="str">
        <f t="shared" si="7"/>
        <v>PEM305</v>
      </c>
      <c r="D136" s="10" t="s">
        <v>187</v>
      </c>
      <c r="E136" s="10" t="s">
        <v>17</v>
      </c>
      <c r="F136" s="17" t="s">
        <v>185</v>
      </c>
    </row>
    <row r="137" spans="1:6" ht="25" x14ac:dyDescent="0.35">
      <c r="A137" t="s">
        <v>267</v>
      </c>
      <c r="B137" s="20" t="str">
        <f t="shared" si="6"/>
        <v>06</v>
      </c>
      <c r="C137" s="9" t="str">
        <f t="shared" si="7"/>
        <v>PEM306</v>
      </c>
      <c r="D137" s="10" t="s">
        <v>188</v>
      </c>
      <c r="E137" s="10" t="s">
        <v>17</v>
      </c>
      <c r="F137" s="17" t="s">
        <v>189</v>
      </c>
    </row>
    <row r="138" spans="1:6" ht="25" x14ac:dyDescent="0.35">
      <c r="A138" t="s">
        <v>267</v>
      </c>
      <c r="B138" s="20" t="str">
        <f t="shared" si="6"/>
        <v>07</v>
      </c>
      <c r="C138" s="9" t="str">
        <f t="shared" si="7"/>
        <v>PEM307</v>
      </c>
      <c r="D138" s="10" t="s">
        <v>192</v>
      </c>
      <c r="E138" s="10" t="s">
        <v>17</v>
      </c>
      <c r="F138" s="17" t="s">
        <v>189</v>
      </c>
    </row>
    <row r="139" spans="1:6" ht="25" x14ac:dyDescent="0.35">
      <c r="A139" t="s">
        <v>267</v>
      </c>
      <c r="B139" s="20" t="str">
        <f t="shared" si="6"/>
        <v>08</v>
      </c>
      <c r="C139" s="9" t="str">
        <f t="shared" si="7"/>
        <v>PEM308</v>
      </c>
      <c r="D139" s="10" t="s">
        <v>193</v>
      </c>
      <c r="E139" s="10" t="s">
        <v>17</v>
      </c>
      <c r="F139" s="17" t="s">
        <v>194</v>
      </c>
    </row>
    <row r="140" spans="1:6" x14ac:dyDescent="0.35">
      <c r="A140" t="s">
        <v>268</v>
      </c>
      <c r="B140" s="20" t="str">
        <f t="shared" si="6"/>
        <v>01</v>
      </c>
      <c r="C140" s="9" t="str">
        <f t="shared" si="7"/>
        <v>PEM401</v>
      </c>
      <c r="D140" s="10" t="s">
        <v>225</v>
      </c>
      <c r="E140" s="10" t="s">
        <v>17</v>
      </c>
      <c r="F140" s="17" t="s">
        <v>226</v>
      </c>
    </row>
    <row r="141" spans="1:6" x14ac:dyDescent="0.35">
      <c r="A141" t="s">
        <v>268</v>
      </c>
      <c r="B141" s="20" t="str">
        <f t="shared" si="6"/>
        <v>02</v>
      </c>
      <c r="C141" s="9" t="str">
        <f t="shared" si="7"/>
        <v>PEM402</v>
      </c>
      <c r="D141" s="10" t="s">
        <v>227</v>
      </c>
      <c r="E141" s="10" t="s">
        <v>17</v>
      </c>
      <c r="F141" s="17" t="s">
        <v>228</v>
      </c>
    </row>
    <row r="142" spans="1:6" x14ac:dyDescent="0.35">
      <c r="A142" t="s">
        <v>268</v>
      </c>
      <c r="B142" s="20" t="str">
        <f t="shared" si="6"/>
        <v>03</v>
      </c>
      <c r="C142" s="9" t="str">
        <f t="shared" si="7"/>
        <v>PEM403</v>
      </c>
      <c r="D142" s="10" t="s">
        <v>233</v>
      </c>
      <c r="E142" s="10" t="s">
        <v>17</v>
      </c>
      <c r="F142" s="17" t="s">
        <v>234</v>
      </c>
    </row>
    <row r="143" spans="1:6" ht="25" x14ac:dyDescent="0.35">
      <c r="A143" t="s">
        <v>268</v>
      </c>
      <c r="B143" s="20" t="str">
        <f t="shared" si="6"/>
        <v>04</v>
      </c>
      <c r="C143" s="9" t="str">
        <f t="shared" si="7"/>
        <v>PEM404</v>
      </c>
      <c r="D143" s="10" t="s">
        <v>237</v>
      </c>
      <c r="E143" s="10" t="s">
        <v>17</v>
      </c>
      <c r="F143" s="17" t="s">
        <v>238</v>
      </c>
    </row>
    <row r="144" spans="1:6" ht="25" x14ac:dyDescent="0.35">
      <c r="A144" t="s">
        <v>266</v>
      </c>
      <c r="B144" s="20" t="str">
        <f t="shared" si="6"/>
        <v>01</v>
      </c>
      <c r="C144" s="9" t="str">
        <f t="shared" si="7"/>
        <v>STE101</v>
      </c>
      <c r="D144" s="10" t="s">
        <v>86</v>
      </c>
      <c r="E144" s="11" t="s">
        <v>20</v>
      </c>
      <c r="F144" s="17" t="s">
        <v>81</v>
      </c>
    </row>
    <row r="145" spans="1:6" ht="25" x14ac:dyDescent="0.35">
      <c r="A145" t="s">
        <v>266</v>
      </c>
      <c r="B145" s="20" t="str">
        <f t="shared" si="6"/>
        <v>02</v>
      </c>
      <c r="C145" s="9" t="str">
        <f t="shared" si="7"/>
        <v>STE102</v>
      </c>
      <c r="D145" s="10" t="s">
        <v>92</v>
      </c>
      <c r="E145" s="11" t="s">
        <v>20</v>
      </c>
      <c r="F145" s="17" t="s">
        <v>93</v>
      </c>
    </row>
    <row r="146" spans="1:6" ht="25" x14ac:dyDescent="0.35">
      <c r="A146" t="s">
        <v>266</v>
      </c>
      <c r="B146" s="20" t="str">
        <f t="shared" si="6"/>
        <v>03</v>
      </c>
      <c r="C146" s="9" t="str">
        <f t="shared" si="7"/>
        <v>STE103</v>
      </c>
      <c r="D146" s="10" t="s">
        <v>100</v>
      </c>
      <c r="E146" s="11" t="s">
        <v>20</v>
      </c>
      <c r="F146" s="17" t="s">
        <v>95</v>
      </c>
    </row>
    <row r="147" spans="1:6" ht="25" x14ac:dyDescent="0.35">
      <c r="A147" t="s">
        <v>266</v>
      </c>
      <c r="B147" s="20" t="str">
        <f t="shared" si="6"/>
        <v>04</v>
      </c>
      <c r="C147" s="9" t="str">
        <f t="shared" si="7"/>
        <v>STE104</v>
      </c>
      <c r="D147" s="10" t="s">
        <v>108</v>
      </c>
      <c r="E147" s="11" t="s">
        <v>20</v>
      </c>
      <c r="F147" s="17" t="s">
        <v>103</v>
      </c>
    </row>
    <row r="148" spans="1:6" x14ac:dyDescent="0.35">
      <c r="A148" t="s">
        <v>266</v>
      </c>
      <c r="B148" s="20" t="str">
        <f t="shared" si="6"/>
        <v>05</v>
      </c>
      <c r="C148" s="9" t="str">
        <f t="shared" si="7"/>
        <v>STE105</v>
      </c>
      <c r="D148" s="10" t="s">
        <v>109</v>
      </c>
      <c r="E148" s="11" t="s">
        <v>20</v>
      </c>
      <c r="F148" s="17" t="s">
        <v>103</v>
      </c>
    </row>
    <row r="149" spans="1:6" ht="25" x14ac:dyDescent="0.35">
      <c r="A149" t="s">
        <v>266</v>
      </c>
      <c r="B149" s="20" t="str">
        <f t="shared" si="6"/>
        <v>06</v>
      </c>
      <c r="C149" s="9" t="str">
        <f t="shared" si="7"/>
        <v>STE106</v>
      </c>
      <c r="D149" s="10" t="s">
        <v>135</v>
      </c>
      <c r="E149" s="11" t="s">
        <v>20</v>
      </c>
      <c r="F149" s="17" t="s">
        <v>130</v>
      </c>
    </row>
    <row r="150" spans="1:6" ht="25" x14ac:dyDescent="0.35">
      <c r="A150" t="s">
        <v>269</v>
      </c>
      <c r="B150" s="20" t="str">
        <f t="shared" si="6"/>
        <v>01</v>
      </c>
      <c r="C150" s="9" t="str">
        <f t="shared" si="7"/>
        <v>STE201</v>
      </c>
      <c r="D150" s="10" t="s">
        <v>52</v>
      </c>
      <c r="E150" s="11" t="s">
        <v>20</v>
      </c>
      <c r="F150" s="17" t="s">
        <v>53</v>
      </c>
    </row>
    <row r="151" spans="1:6" ht="25" x14ac:dyDescent="0.35">
      <c r="A151" t="s">
        <v>269</v>
      </c>
      <c r="B151" s="20" t="str">
        <f t="shared" si="6"/>
        <v>02</v>
      </c>
      <c r="C151" s="9" t="str">
        <f t="shared" si="7"/>
        <v>STE202</v>
      </c>
      <c r="D151" s="10" t="s">
        <v>54</v>
      </c>
      <c r="E151" s="11" t="s">
        <v>20</v>
      </c>
      <c r="F151" s="17" t="s">
        <v>55</v>
      </c>
    </row>
    <row r="152" spans="1:6" ht="25" x14ac:dyDescent="0.35">
      <c r="A152" t="s">
        <v>267</v>
      </c>
      <c r="B152" s="20" t="str">
        <f t="shared" si="6"/>
        <v>01</v>
      </c>
      <c r="C152" s="9" t="str">
        <f t="shared" si="7"/>
        <v>STE301</v>
      </c>
      <c r="D152" s="10" t="s">
        <v>178</v>
      </c>
      <c r="E152" s="11" t="s">
        <v>20</v>
      </c>
      <c r="F152" s="17" t="s">
        <v>175</v>
      </c>
    </row>
    <row r="153" spans="1:6" ht="25" x14ac:dyDescent="0.35">
      <c r="A153" t="s">
        <v>267</v>
      </c>
      <c r="B153" s="20" t="str">
        <f t="shared" si="6"/>
        <v>02</v>
      </c>
      <c r="C153" s="9" t="str">
        <f t="shared" si="7"/>
        <v>STE302</v>
      </c>
      <c r="D153" s="10" t="s">
        <v>186</v>
      </c>
      <c r="E153" s="11" t="s">
        <v>20</v>
      </c>
      <c r="F153" s="17" t="s">
        <v>185</v>
      </c>
    </row>
    <row r="154" spans="1:6" ht="25" x14ac:dyDescent="0.35">
      <c r="A154" t="s">
        <v>267</v>
      </c>
      <c r="B154" s="20" t="str">
        <f t="shared" si="6"/>
        <v>03</v>
      </c>
      <c r="C154" s="9" t="str">
        <f t="shared" si="7"/>
        <v>STE303</v>
      </c>
      <c r="D154" s="10" t="s">
        <v>190</v>
      </c>
      <c r="E154" s="11" t="s">
        <v>20</v>
      </c>
      <c r="F154" s="17" t="s">
        <v>189</v>
      </c>
    </row>
    <row r="155" spans="1:6" ht="25" x14ac:dyDescent="0.35">
      <c r="A155" t="s">
        <v>267</v>
      </c>
      <c r="B155" s="20" t="str">
        <f t="shared" si="6"/>
        <v>04</v>
      </c>
      <c r="C155" s="9" t="str">
        <f t="shared" si="7"/>
        <v>STE304</v>
      </c>
      <c r="D155" s="10" t="s">
        <v>191</v>
      </c>
      <c r="E155" s="11" t="s">
        <v>20</v>
      </c>
      <c r="F155" s="17" t="s">
        <v>189</v>
      </c>
    </row>
    <row r="156" spans="1:6" ht="25" x14ac:dyDescent="0.35">
      <c r="A156" t="s">
        <v>267</v>
      </c>
      <c r="B156" s="20" t="str">
        <f t="shared" si="6"/>
        <v>05</v>
      </c>
      <c r="C156" s="9" t="str">
        <f t="shared" si="7"/>
        <v>STE305</v>
      </c>
      <c r="D156" s="10" t="s">
        <v>195</v>
      </c>
      <c r="E156" s="11" t="s">
        <v>20</v>
      </c>
      <c r="F156" s="17" t="s">
        <v>194</v>
      </c>
    </row>
    <row r="157" spans="1:6" ht="25" x14ac:dyDescent="0.35">
      <c r="A157" t="s">
        <v>268</v>
      </c>
      <c r="B157" s="20" t="str">
        <f t="shared" si="6"/>
        <v>01</v>
      </c>
      <c r="C157" s="9" t="str">
        <f t="shared" si="7"/>
        <v>STE401</v>
      </c>
      <c r="D157" s="10" t="s">
        <v>229</v>
      </c>
      <c r="E157" s="11" t="s">
        <v>20</v>
      </c>
      <c r="F157" s="17" t="s">
        <v>230</v>
      </c>
    </row>
    <row r="158" spans="1:6" ht="25" x14ac:dyDescent="0.35">
      <c r="A158" t="s">
        <v>268</v>
      </c>
      <c r="B158" s="20" t="str">
        <f t="shared" si="6"/>
        <v>02</v>
      </c>
      <c r="C158" s="9" t="str">
        <f t="shared" si="7"/>
        <v>STE402</v>
      </c>
      <c r="D158" s="10" t="s">
        <v>235</v>
      </c>
      <c r="E158" s="11" t="s">
        <v>20</v>
      </c>
      <c r="F158" s="17" t="s">
        <v>236</v>
      </c>
    </row>
  </sheetData>
  <pageMargins left="0.25" right="0.25" top="0.75" bottom="0.75" header="0.3" footer="0.3"/>
  <pageSetup paperSize="9" scale="9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Ringkasan</vt:lpstr>
      <vt:lpstr>Indikator Supervisi Akademik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Eagen Widi</cp:lastModifiedBy>
  <cp:revision>0</cp:revision>
  <cp:lastPrinted>2026-10-04T10:36:38Z</cp:lastPrinted>
  <dcterms:created xsi:type="dcterms:W3CDTF">2026-09-30T06:13:16Z</dcterms:created>
  <dcterms:modified xsi:type="dcterms:W3CDTF">2026-10-04T10:36:46Z</dcterms:modified>
  <dc:language>en-US</dc:language>
</cp:coreProperties>
</file>